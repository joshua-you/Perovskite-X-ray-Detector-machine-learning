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3-博士\薄膜单晶\实验数据\机器学习\"/>
    </mc:Choice>
  </mc:AlternateContent>
  <bookViews>
    <workbookView xWindow="-108" yWindow="-108" windowWidth="22620" windowHeight="135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6" i="1" l="1"/>
  <c r="C155" i="1"/>
  <c r="U166" i="1"/>
  <c r="C154" i="1"/>
  <c r="C153" i="1"/>
  <c r="C150" i="1"/>
  <c r="C149" i="1"/>
  <c r="C147" i="1"/>
  <c r="C145" i="1"/>
  <c r="C144" i="1"/>
  <c r="C143" i="1"/>
  <c r="D140" i="1"/>
  <c r="C140" i="1"/>
  <c r="E140" i="1"/>
  <c r="D141" i="1"/>
  <c r="F37" i="1" l="1"/>
  <c r="F135" i="1" l="1"/>
  <c r="F61" i="1"/>
  <c r="F134" i="1"/>
  <c r="F133" i="1"/>
  <c r="E132" i="1"/>
  <c r="C131" i="1"/>
  <c r="F131" i="1" s="1"/>
  <c r="F17" i="1"/>
  <c r="F16" i="1"/>
  <c r="F14" i="1"/>
  <c r="F130" i="1" l="1"/>
  <c r="F35" i="1" l="1"/>
  <c r="F129" i="1"/>
  <c r="P126" i="1"/>
  <c r="F34" i="1"/>
  <c r="F33" i="1"/>
  <c r="F126" i="1"/>
  <c r="F32" i="1"/>
  <c r="P120" i="1" l="1"/>
  <c r="P122" i="1" l="1"/>
  <c r="P124" i="1" l="1"/>
  <c r="P62" i="1"/>
  <c r="P119" i="1" l="1"/>
  <c r="P118" i="1"/>
  <c r="P67" i="1" l="1"/>
  <c r="P116" i="1"/>
</calcChain>
</file>

<file path=xl/sharedStrings.xml><?xml version="1.0" encoding="utf-8"?>
<sst xmlns="http://schemas.openxmlformats.org/spreadsheetml/2006/main" count="646" uniqueCount="403">
  <si>
    <t>perovskite</t>
  </si>
  <si>
    <t>Molecular Structure</t>
    <phoneticPr fontId="3" type="noConversion"/>
  </si>
  <si>
    <t>references</t>
    <phoneticPr fontId="3" type="noConversion"/>
  </si>
  <si>
    <t>Molecular Perovskite</t>
    <phoneticPr fontId="3" type="noConversion"/>
  </si>
  <si>
    <r>
      <t>2</t>
    </r>
    <r>
      <rPr>
        <sz val="11"/>
        <color theme="1"/>
        <rFont val="等线"/>
        <family val="3"/>
        <charset val="134"/>
        <scheme val="minor"/>
      </rPr>
      <t>D</t>
    </r>
    <phoneticPr fontId="3" type="noConversion"/>
  </si>
  <si>
    <t>（p-F-PEA）2PbI4</t>
    <phoneticPr fontId="3" type="noConversion"/>
  </si>
  <si>
    <t>（o-F-PEA）2PbI4</t>
    <phoneticPr fontId="3" type="noConversion"/>
  </si>
  <si>
    <t>2D</t>
    <phoneticPr fontId="3" type="noConversion"/>
  </si>
  <si>
    <r>
      <t>(3AP)Pb</t>
    </r>
    <r>
      <rPr>
        <sz val="11"/>
        <color theme="1"/>
        <rFont val="等线"/>
        <family val="3"/>
        <charset val="134"/>
        <scheme val="minor"/>
      </rPr>
      <t>Cl</t>
    </r>
    <r>
      <rPr>
        <sz val="11"/>
        <color theme="1"/>
        <rFont val="等线"/>
        <family val="3"/>
        <charset val="134"/>
        <scheme val="minor"/>
      </rPr>
      <t>4</t>
    </r>
    <phoneticPr fontId="3" type="noConversion"/>
  </si>
  <si>
    <r>
      <t>(3AP)Pb</t>
    </r>
    <r>
      <rPr>
        <sz val="11"/>
        <color theme="1"/>
        <rFont val="等线"/>
        <family val="3"/>
        <charset val="134"/>
        <scheme val="minor"/>
      </rPr>
      <t>Br</t>
    </r>
    <r>
      <rPr>
        <sz val="11"/>
        <color theme="1"/>
        <rFont val="等线"/>
        <family val="3"/>
        <charset val="134"/>
        <scheme val="minor"/>
      </rPr>
      <t>4</t>
    </r>
    <phoneticPr fontId="3" type="noConversion"/>
  </si>
  <si>
    <r>
      <t>(3AP)Pb</t>
    </r>
    <r>
      <rPr>
        <sz val="11"/>
        <color theme="1"/>
        <rFont val="等线"/>
        <family val="3"/>
        <charset val="134"/>
        <scheme val="minor"/>
      </rPr>
      <t>I</t>
    </r>
    <r>
      <rPr>
        <sz val="11"/>
        <color theme="1"/>
        <rFont val="等线"/>
        <family val="3"/>
        <charset val="134"/>
        <scheme val="minor"/>
      </rPr>
      <t>4</t>
    </r>
    <phoneticPr fontId="3" type="noConversion"/>
  </si>
  <si>
    <t>3D</t>
  </si>
  <si>
    <t>FA0.85MA0.1Cs0.05PbI2.55Br0.45</t>
    <phoneticPr fontId="3" type="noConversion"/>
  </si>
  <si>
    <t>MDABCO-NH4I3</t>
    <phoneticPr fontId="3" type="noConversion"/>
  </si>
  <si>
    <t>MAPbI3</t>
    <phoneticPr fontId="3" type="noConversion"/>
  </si>
  <si>
    <t>Perovskite Wafers</t>
    <phoneticPr fontId="3" type="noConversion"/>
  </si>
  <si>
    <t>Cs3Bi2Br3I6</t>
    <phoneticPr fontId="3" type="noConversion"/>
  </si>
  <si>
    <t>PEA2MA8Pb9I28</t>
    <phoneticPr fontId="3" type="noConversion"/>
  </si>
  <si>
    <t>3D</t>
    <phoneticPr fontId="3" type="noConversion"/>
  </si>
  <si>
    <t>CsPbBr3</t>
    <phoneticPr fontId="3" type="noConversion"/>
  </si>
  <si>
    <t>3D/2D</t>
    <phoneticPr fontId="3" type="noConversion"/>
  </si>
  <si>
    <t>FAPbBr3/(FPEA)2PbBr4</t>
    <phoneticPr fontId="3" type="noConversion"/>
  </si>
  <si>
    <t>FAPbBr3</t>
    <phoneticPr fontId="3" type="noConversion"/>
  </si>
  <si>
    <r>
      <t>quasi-</t>
    </r>
    <r>
      <rPr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3"/>
        <charset val="134"/>
        <scheme val="minor"/>
      </rPr>
      <t>D</t>
    </r>
    <phoneticPr fontId="3" type="noConversion"/>
  </si>
  <si>
    <t>(BA）2（EA）2Pb3Br10</t>
    <phoneticPr fontId="3" type="noConversion"/>
  </si>
  <si>
    <t>(4,4-dif
luoropiperidinium)4AgBiI8</t>
    <phoneticPr fontId="3" type="noConversion"/>
  </si>
  <si>
    <t>FA0.55MA0.45PbI3</t>
  </si>
  <si>
    <t>MAPbI3</t>
  </si>
  <si>
    <t>0D</t>
    <phoneticPr fontId="3" type="noConversion"/>
  </si>
  <si>
    <t>2D- Ferroelectric Material</t>
    <phoneticPr fontId="3" type="noConversion"/>
  </si>
  <si>
    <t>BDAPbI4</t>
  </si>
  <si>
    <t>quasi-2D</t>
    <phoneticPr fontId="3" type="noConversion"/>
  </si>
  <si>
    <t>GAMAPbI3</t>
    <phoneticPr fontId="3" type="noConversion"/>
  </si>
  <si>
    <r>
      <t>(</t>
    </r>
    <r>
      <rPr>
        <sz val="11"/>
        <color theme="1"/>
        <rFont val="等线"/>
        <family val="3"/>
        <charset val="134"/>
        <scheme val="minor"/>
      </rPr>
      <t>CH3O</t>
    </r>
    <r>
      <rPr>
        <sz val="11"/>
        <color theme="1"/>
        <rFont val="等线"/>
        <family val="3"/>
        <charset val="134"/>
        <scheme val="minor"/>
      </rPr>
      <t>C3H9N)2CsPb2Br7</t>
    </r>
    <phoneticPr fontId="3" type="noConversion"/>
  </si>
  <si>
    <t>(PMA)2PbI4-Cu</t>
    <phoneticPr fontId="3" type="noConversion"/>
  </si>
  <si>
    <t>Rb4Ag2BiBr9</t>
    <phoneticPr fontId="3" type="noConversion"/>
  </si>
  <si>
    <t>(3AMPY)Pb2I6</t>
    <phoneticPr fontId="3" type="noConversion"/>
  </si>
  <si>
    <t>MAPbBr3</t>
    <phoneticPr fontId="3" type="noConversion"/>
  </si>
  <si>
    <t>(BDA)CsPb2Br7</t>
  </si>
  <si>
    <t>1D</t>
    <phoneticPr fontId="3" type="noConversion"/>
  </si>
  <si>
    <t>MA3Bi2I9</t>
    <phoneticPr fontId="3" type="noConversion"/>
  </si>
  <si>
    <t>3D-film</t>
    <phoneticPr fontId="3" type="noConversion"/>
  </si>
  <si>
    <t xml:space="preserve">CsPbI2Br </t>
    <phoneticPr fontId="3" type="noConversion"/>
  </si>
  <si>
    <t>3D-wafer</t>
    <phoneticPr fontId="3" type="noConversion"/>
  </si>
  <si>
    <t>Si-integrated MAPbBr3</t>
    <phoneticPr fontId="3" type="noConversion"/>
  </si>
  <si>
    <t>Perovskite-filled membranes</t>
    <phoneticPr fontId="3" type="noConversion"/>
  </si>
  <si>
    <t>MAPb(I0.9Cl0.1)3</t>
    <phoneticPr fontId="3" type="noConversion"/>
  </si>
  <si>
    <r>
      <t>3</t>
    </r>
    <r>
      <rPr>
        <sz val="11"/>
        <color theme="1"/>
        <rFont val="等线"/>
        <family val="3"/>
        <charset val="134"/>
        <scheme val="minor"/>
      </rPr>
      <t>D-</t>
    </r>
    <r>
      <rPr>
        <sz val="11"/>
        <color theme="1"/>
        <rFont val="等线"/>
        <family val="3"/>
        <charset val="134"/>
        <scheme val="minor"/>
      </rPr>
      <t>Heterojunction devices</t>
    </r>
    <phoneticPr fontId="3" type="noConversion"/>
  </si>
  <si>
    <t>Cs0.15FA0.85PbI3/Cs0.15FA0.85Pb(I0.15Br0.85)3</t>
    <phoneticPr fontId="3" type="noConversion"/>
  </si>
  <si>
    <t>Cs0.15FA0.85PbI3</t>
    <phoneticPr fontId="3" type="noConversion"/>
  </si>
  <si>
    <t>MA 3 Bi 2 I 9</t>
    <phoneticPr fontId="3" type="noConversion"/>
  </si>
  <si>
    <t>Cs0.1(FA0.83MA0.17)0.9Pb(Br0.17I0.83)3</t>
    <phoneticPr fontId="3" type="noConversion"/>
  </si>
  <si>
    <r>
      <t>CsPbBr</t>
    </r>
    <r>
      <rPr>
        <sz val="10"/>
        <color rgb="FF000000"/>
        <rFont val="Georgia"/>
        <family val="1"/>
      </rPr>
      <t>3</t>
    </r>
    <phoneticPr fontId="3" type="noConversion"/>
  </si>
  <si>
    <t>CsPbBr3-0.037%Rb</t>
    <phoneticPr fontId="3" type="noConversion"/>
  </si>
  <si>
    <t>Metal-free perovskite film</t>
    <phoneticPr fontId="3" type="noConversion"/>
  </si>
  <si>
    <t>PAZE-NH4Cl3·H2O</t>
    <phoneticPr fontId="3" type="noConversion"/>
  </si>
  <si>
    <t>PAZE-NH4Br3·H2O</t>
    <phoneticPr fontId="3" type="noConversion"/>
  </si>
  <si>
    <t>PAZE-NH4I3·H2O</t>
    <phoneticPr fontId="3" type="noConversion"/>
  </si>
  <si>
    <t>(3-AMP)BiI5</t>
    <phoneticPr fontId="3" type="noConversion"/>
  </si>
  <si>
    <t>FA3Bi2I9</t>
    <phoneticPr fontId="3" type="noConversion"/>
  </si>
  <si>
    <t>Eg(eV)</t>
    <phoneticPr fontId="3" type="noConversion"/>
  </si>
  <si>
    <t>type</t>
    <phoneticPr fontId="3" type="noConversion"/>
  </si>
  <si>
    <r>
      <t>p</t>
    </r>
    <r>
      <rPr>
        <sz val="11"/>
        <color theme="1"/>
        <rFont val="等线"/>
        <family val="3"/>
        <charset val="134"/>
        <scheme val="minor"/>
      </rPr>
      <t>lanar</t>
    </r>
    <phoneticPr fontId="3" type="noConversion"/>
  </si>
  <si>
    <t>128.9 ± 4.64</t>
    <phoneticPr fontId="3" type="noConversion"/>
  </si>
  <si>
    <t xml:space="preserve">vertical </t>
    <phoneticPr fontId="3" type="noConversion"/>
  </si>
  <si>
    <t>Sensitive and Stable 2D Perovskite Single-Crystal X-ray Detectors Enabled by a Supramolecular Anchor</t>
    <phoneticPr fontId="3" type="noConversion"/>
  </si>
  <si>
    <t>First‐Principles Calculation Design for 2D Perovskite to Suppress Ion Migration for High‐Performance X‐ray Detection</t>
    <phoneticPr fontId="3" type="noConversion"/>
  </si>
  <si>
    <t>Centimeter-Sized 2D Perovskitoid Single Crystals for Efficient X‑ray
Photoresponsivity</t>
    <phoneticPr fontId="3" type="noConversion"/>
  </si>
  <si>
    <t>Triple-Cation and Mixed-Halide Perovskite Single Crystal for High-Performance X-ray Imaging</t>
  </si>
  <si>
    <t>Metal-Free Halide Perovskite Single Crystals with Very Long Charge Lifetimes for Efficient X-ray Imaging</t>
    <phoneticPr fontId="3" type="noConversion"/>
  </si>
  <si>
    <t>Highly Luminescent Metal-Free Perovskite Single Crystal for Biocompatible X-Ray Detector to Attain Highest Sensitivity</t>
    <phoneticPr fontId="3" type="noConversion"/>
  </si>
  <si>
    <t>Elimination of Interfacial-electrochemical-reaction-induced Polarization in Perovskite Single Crystals for Ultra-sensitive and Stable X-ray Detector Arrays</t>
    <phoneticPr fontId="3" type="noConversion"/>
  </si>
  <si>
    <t>Self-Healing Cs3Bi2Br3I6 Perovskite Wafers for X-Ray Detection</t>
    <phoneticPr fontId="3" type="noConversion"/>
  </si>
  <si>
    <t>3D/2D Perovskite Single Crystals Heterojunction for Suppressed Ions Migration in Hard X‐Ray Detection</t>
    <phoneticPr fontId="3" type="noConversion"/>
  </si>
  <si>
    <t>2D Hybrid Perovskite Ferroelectric Enables Highly Sensitive X‐Ray Detection with Low Driving Voltage</t>
    <phoneticPr fontId="3" type="noConversion"/>
  </si>
  <si>
    <t>Low-Cost and Large-Area Hybrid X-Ray Detectors Combining
Direct Perovskite Semiconductor and Indirect Scintillator</t>
    <phoneticPr fontId="3" type="noConversion"/>
  </si>
  <si>
    <t>planar</t>
    <phoneticPr fontId="3" type="noConversion"/>
  </si>
  <si>
    <t>Centimeter‐Sized Single Crystals of Two‐Dimensional Hybrid Iodide Double Perovskite (4,4‐Difluoropiperidinium)</t>
    <phoneticPr fontId="3" type="noConversion"/>
  </si>
  <si>
    <t>Unveiling the Structural Descriptor of A3B2X9Perovskite Derivatives toward X‐Ray Detectors with Low Detection Limit and High Stability</t>
    <phoneticPr fontId="3" type="noConversion"/>
  </si>
  <si>
    <t>Large Lead-Free Perovskite Single Crystal for High-Performance Coplanar X-Ray Imaging Applications</t>
    <phoneticPr fontId="3" type="noConversion"/>
  </si>
  <si>
    <t>Centimeter‐Sized Single Crystal of Two‐Dimensional Halide Perovskites Incorporating Straight‐Chain Symmetric Diammonium Ion for X‐Ray Detection</t>
    <phoneticPr fontId="3" type="noConversion"/>
  </si>
  <si>
    <t>A-site Cation Engineering for Highly Efficient MAPbI(3) Single-Crystal X-ray Detector</t>
    <phoneticPr fontId="3" type="noConversion"/>
  </si>
  <si>
    <t>Fabrication of 2D perovskite (PMA)(2)PbI4 crystal and Cu ion implantation improved x-ray detector</t>
    <phoneticPr fontId="3" type="noConversion"/>
  </si>
  <si>
    <t>Physical Properties of Candidate X-ray Detector Material Rb4Ag2BiBr9</t>
    <phoneticPr fontId="3" type="noConversion"/>
  </si>
  <si>
    <t>Facile Strategy for Facet Competition Management to Improve the Performance of Perovskite Single-Crystal X-ray Detectors</t>
    <phoneticPr fontId="3" type="noConversion"/>
  </si>
  <si>
    <t>Two-Dimensional Dion-Jacobson Perovskite (NH3C4H8NH3)CsPb2Br7 with High X-ray Sensitivity and Peak Discrimination of alpha-Particles</t>
    <phoneticPr fontId="3" type="noConversion"/>
  </si>
  <si>
    <t>High Performance X-ray Detection Based on One-
Dimensional Inorganic Halide Perovskite CsPbI</t>
    <phoneticPr fontId="3" type="noConversion"/>
  </si>
  <si>
    <t>Inch-Size 0D-Structured Lead-Free Perovskite Single Crystals for Highly Sensitive Stable X-Ray Imaging</t>
    <phoneticPr fontId="3" type="noConversion"/>
  </si>
  <si>
    <t>An aerosol-liquid-solid process for the general synthesis of halide perovskite thick films for direct-conversion X-ray detectors</t>
    <phoneticPr fontId="3" type="noConversion"/>
  </si>
  <si>
    <t>Nucleation-controlled growth of superior lead-free perovskite Cs3Bi2I9 single-crystals for high-performance X-ray detection</t>
    <phoneticPr fontId="3" type="noConversion"/>
  </si>
  <si>
    <t>Crystallization of CsPbBr3 single crystals in water for X-ray detection</t>
    <phoneticPr fontId="3" type="noConversion"/>
  </si>
  <si>
    <t>Cs2AgBiBr6 single-crystal X-ray detectors with a low detection limit</t>
    <phoneticPr fontId="3" type="noConversion"/>
  </si>
  <si>
    <t xml:space="preserve">Sensitive X-ray detectors made of methylammonium lead tribromide perovskite single </t>
    <phoneticPr fontId="3" type="noConversion"/>
  </si>
  <si>
    <t>Monolithic integration of hybrid perovskite single crystals with heterogenous substrate for highly sensitive X-ray imaging</t>
    <phoneticPr fontId="3" type="noConversion"/>
  </si>
  <si>
    <t>Perovskite-filled membranes for flexible and large-area direct-conversion X-ray detector arrays</t>
    <phoneticPr fontId="3" type="noConversion"/>
  </si>
  <si>
    <t>Highly sensitive X-ray detector made of layered perovskite-like (NH4)3 anisotropic response</t>
    <phoneticPr fontId="3" type="noConversion"/>
  </si>
  <si>
    <t xml:space="preserve">vertical </t>
  </si>
  <si>
    <t>Heterojunction structures for reduced noise in large-area and sensitive perovskite x-ray detectors</t>
    <phoneticPr fontId="3" type="noConversion"/>
  </si>
  <si>
    <t>Grain and stoichiometry engineering for ultra-sensitive perovskite X-ray detectors</t>
  </si>
  <si>
    <t>Ultrasensitive and stable X-ray detection using zero-dimensional lead-free perovskites</t>
    <phoneticPr fontId="3" type="noConversion"/>
  </si>
  <si>
    <t>Robust Fabrication of Hybrid Lead-Free Perovskite Pellets for Stable X-ray Detectors with Low Detection Limit</t>
    <phoneticPr fontId="3" type="noConversion"/>
  </si>
  <si>
    <t>Flexible Inkjet-Printed Triple Cation Perovskite X-ray Detectors</t>
    <phoneticPr fontId="3" type="noConversion"/>
  </si>
  <si>
    <t>Rubidium Doping to Enhance Carrier Transport in CsPbBr3 Single Crystals for High-Performance X-Ray Detection</t>
    <phoneticPr fontId="3" type="noConversion"/>
  </si>
  <si>
    <t xml:space="preserve">Ultralow Detection Limit and Robust Hard X-ray Imaging Detector Based on Inch-Sized Lead-Free Perovskite Cs3Bi2Br9 Single </t>
    <phoneticPr fontId="3" type="noConversion"/>
  </si>
  <si>
    <t>Metal-Free PAZE-NH4X3.H2O Perovskite for Flexible Transparent X-ray Detection and Imaging</t>
    <phoneticPr fontId="3" type="noConversion"/>
  </si>
  <si>
    <t>Water‐Resistant Lead‐Free Perovskitoid Single Crystal for Efficient X‐Ray Detection</t>
    <phoneticPr fontId="3" type="noConversion"/>
  </si>
  <si>
    <t>Antisolvent-assisted Crystallization of Centimeter-sized Lead-free Bismuth Bromide Hybrid Perovskite Single Crystals with X-ray Sensitive Merits</t>
    <phoneticPr fontId="3" type="noConversion"/>
  </si>
  <si>
    <t>A Lead-Free Hybrid Iodide with Quantitative Response to X-ray Radiation</t>
    <phoneticPr fontId="3" type="noConversion"/>
  </si>
  <si>
    <t>Zero-Dimensional Lead-Free FA3Bi2I9 Single Crystals for HighPerformance X‑ray Detection</t>
    <phoneticPr fontId="3" type="noConversion"/>
  </si>
  <si>
    <t>A lead-free I-based hybrid double perovskite (I-C4H8NH3)4AgBiI8 for X-ray detection</t>
    <phoneticPr fontId="3" type="noConversion"/>
  </si>
  <si>
    <t>lattice lengths/bÅ ）</t>
    <phoneticPr fontId="3" type="noConversion"/>
  </si>
  <si>
    <t>lattice lengths/cÅ ）</t>
    <phoneticPr fontId="3" type="noConversion"/>
  </si>
  <si>
    <t>3D</t>
    <phoneticPr fontId="3" type="noConversion"/>
  </si>
  <si>
    <t>Sensitivity and Detection Limit of Spectroscopic‐Grade Perovskite CsPbBr3</t>
    <phoneticPr fontId="3" type="noConversion"/>
  </si>
  <si>
    <t>(MA）3Bi2I9</t>
    <phoneticPr fontId="3" type="noConversion"/>
  </si>
  <si>
    <r>
      <t>(</t>
    </r>
    <r>
      <rPr>
        <sz val="11"/>
        <color theme="1"/>
        <rFont val="等线"/>
        <family val="3"/>
        <charset val="134"/>
        <scheme val="minor"/>
      </rPr>
      <t>(NH4)3Bi2I9</t>
    </r>
    <phoneticPr fontId="3" type="noConversion"/>
  </si>
  <si>
    <t>20.909 4</t>
    <phoneticPr fontId="1" type="noConversion"/>
  </si>
  <si>
    <t>Cs3Bi2Br9</t>
    <phoneticPr fontId="3" type="noConversion"/>
  </si>
  <si>
    <t>detection limit(µGyair−1 s−1)</t>
    <phoneticPr fontId="3" type="noConversion"/>
  </si>
  <si>
    <t>X-ray
energy(KeV)</t>
    <phoneticPr fontId="3" type="noConversion"/>
  </si>
  <si>
    <t>Applied
electric filed
(V mm-1)</t>
    <phoneticPr fontId="3" type="noConversion"/>
  </si>
  <si>
    <t>sensitivity（μCGy−1 cm−2）</t>
    <phoneticPr fontId="3" type="noConversion"/>
  </si>
  <si>
    <t>lattice lengths/a（Å ）</t>
    <phoneticPr fontId="3" type="noConversion"/>
  </si>
  <si>
    <r>
      <t>Z</t>
    </r>
    <r>
      <rPr>
        <b/>
        <vertAlign val="subscript"/>
        <sz val="11"/>
        <color theme="1"/>
        <rFont val="等线"/>
        <family val="3"/>
        <charset val="134"/>
        <scheme val="minor"/>
      </rPr>
      <t>A</t>
    </r>
    <phoneticPr fontId="3" type="noConversion"/>
  </si>
  <si>
    <r>
      <t>Z</t>
    </r>
    <r>
      <rPr>
        <b/>
        <vertAlign val="subscript"/>
        <sz val="11"/>
        <color theme="1"/>
        <rFont val="等线"/>
        <family val="3"/>
        <charset val="134"/>
        <scheme val="minor"/>
      </rPr>
      <t>B</t>
    </r>
    <phoneticPr fontId="3" type="noConversion"/>
  </si>
  <si>
    <r>
      <t>Z</t>
    </r>
    <r>
      <rPr>
        <b/>
        <vertAlign val="subscript"/>
        <sz val="11"/>
        <color theme="1"/>
        <rFont val="等线"/>
        <family val="3"/>
        <charset val="134"/>
        <scheme val="minor"/>
      </rPr>
      <t>X</t>
    </r>
    <phoneticPr fontId="3" type="noConversion"/>
  </si>
  <si>
    <r>
      <t>Z</t>
    </r>
    <r>
      <rPr>
        <b/>
        <vertAlign val="subscript"/>
        <sz val="11"/>
        <color theme="1"/>
        <rFont val="等线"/>
        <family val="3"/>
        <charset val="134"/>
        <scheme val="minor"/>
      </rPr>
      <t>total</t>
    </r>
    <phoneticPr fontId="3" type="noConversion"/>
  </si>
  <si>
    <t>Exploring Lead‐Free Hybrid Double Perovskite Crystals of (BA)2CsAgBiBr7 with Large Mobility‐Lifetime Product toward X‐Ray Detection</t>
    <phoneticPr fontId="3" type="noConversion"/>
  </si>
  <si>
    <t>CsPbI3</t>
    <phoneticPr fontId="1" type="noConversion"/>
  </si>
  <si>
    <t>0D</t>
    <phoneticPr fontId="1" type="noConversion"/>
  </si>
  <si>
    <t>MA3Bi2I9 flexible membranes</t>
    <phoneticPr fontId="1" type="noConversion"/>
  </si>
  <si>
    <t>planar</t>
    <phoneticPr fontId="3" type="noConversion"/>
  </si>
  <si>
    <t>2D</t>
    <phoneticPr fontId="1" type="noConversion"/>
  </si>
  <si>
    <t xml:space="preserve">vertical </t>
    <phoneticPr fontId="1" type="noConversion"/>
  </si>
  <si>
    <t>8.6404(6)</t>
    <phoneticPr fontId="1" type="noConversion"/>
  </si>
  <si>
    <t>34.253(3)</t>
    <phoneticPr fontId="1" type="noConversion"/>
  </si>
  <si>
    <t>Cs0.1FA0.85GA0.05Pb(I0.9
Br0.1)3</t>
    <phoneticPr fontId="1" type="noConversion"/>
  </si>
  <si>
    <t>3D</t>
    <phoneticPr fontId="1" type="noConversion"/>
  </si>
  <si>
    <t>MAPbBr3</t>
    <phoneticPr fontId="1" type="noConversion"/>
  </si>
  <si>
    <t xml:space="preserve"> MA0.6Cs0.4PbBr3</t>
    <phoneticPr fontId="1" type="noConversion"/>
  </si>
  <si>
    <t>(MA3Bi2I9 polycrystalline pellets</t>
    <phoneticPr fontId="1" type="noConversion"/>
  </si>
  <si>
    <t>MA3Bi2I9 films-blade coating</t>
    <phoneticPr fontId="1" type="noConversion"/>
  </si>
  <si>
    <t>CsPbBr3</t>
    <phoneticPr fontId="1" type="noConversion"/>
  </si>
  <si>
    <t>Cs0.05FA0.79MA0.16Pb(I0.8 Br0.2)3  films</t>
    <phoneticPr fontId="1" type="noConversion"/>
  </si>
  <si>
    <t>High-Quality Single Crystal Perovskite for Highly Sensitive X-Ray Detector</t>
    <phoneticPr fontId="1" type="noConversion"/>
  </si>
  <si>
    <t>3D</t>
    <phoneticPr fontId="1" type="noConversion"/>
  </si>
  <si>
    <t xml:space="preserve">Cs2AgBiBr6 </t>
    <phoneticPr fontId="1" type="noConversion"/>
  </si>
  <si>
    <t>planar</t>
    <phoneticPr fontId="1" type="noConversion"/>
  </si>
  <si>
    <t>BA2MA9Pb10I31</t>
    <phoneticPr fontId="1" type="noConversion"/>
  </si>
  <si>
    <t xml:space="preserve">vertical </t>
    <phoneticPr fontId="1" type="noConversion"/>
  </si>
  <si>
    <t xml:space="preserve">vertical </t>
    <phoneticPr fontId="1" type="noConversion"/>
  </si>
  <si>
    <t>0D</t>
    <phoneticPr fontId="1" type="noConversion"/>
  </si>
  <si>
    <t>0D</t>
    <phoneticPr fontId="1" type="noConversion"/>
  </si>
  <si>
    <t>Cs3Bi2I9/Mxene wafer</t>
    <phoneticPr fontId="1" type="noConversion"/>
  </si>
  <si>
    <t>BTA2MnBr4 wafer</t>
    <phoneticPr fontId="1" type="noConversion"/>
  </si>
  <si>
    <t>2D</t>
  </si>
  <si>
    <t>（p-F-PEA）2PbI4</t>
  </si>
  <si>
    <t>planar</t>
    <phoneticPr fontId="1" type="noConversion"/>
  </si>
  <si>
    <t>（PEA）2PbI4</t>
    <phoneticPr fontId="1" type="noConversion"/>
  </si>
  <si>
    <t>3D-film</t>
    <phoneticPr fontId="3" type="noConversion"/>
  </si>
  <si>
    <t>3D-film</t>
    <phoneticPr fontId="1" type="noConversion"/>
  </si>
  <si>
    <t>3D/2D-film</t>
    <phoneticPr fontId="1" type="noConversion"/>
  </si>
  <si>
    <t>(PEA)2MA3Pb4I13/MAPbI3</t>
    <phoneticPr fontId="1" type="noConversion"/>
  </si>
  <si>
    <t>Sequential Growth of 2D/3D Double-Layer Perovskite Films with Superior X-Ray Detection Performance</t>
    <phoneticPr fontId="1" type="noConversion"/>
  </si>
  <si>
    <t xml:space="preserve">vertical </t>
    <phoneticPr fontId="1" type="noConversion"/>
  </si>
  <si>
    <t>CsPbBr3</t>
  </si>
  <si>
    <t>Cs2AgBiBr6 film</t>
    <phoneticPr fontId="1" type="noConversion"/>
  </si>
  <si>
    <r>
      <t>Cs2AgBiBr6</t>
    </r>
    <r>
      <rPr>
        <sz val="11"/>
        <color theme="1"/>
        <rFont val="等线"/>
        <family val="3"/>
        <charset val="134"/>
        <scheme val="minor"/>
      </rPr>
      <t>/(C38H34P2)MnBr4</t>
    </r>
    <phoneticPr fontId="3" type="noConversion"/>
  </si>
  <si>
    <t>double
perovskite</t>
  </si>
  <si>
    <t>PEA-Cs2AgBiBr6</t>
    <phoneticPr fontId="1" type="noConversion"/>
  </si>
  <si>
    <t>Cs2AgBiBr6</t>
    <phoneticPr fontId="1" type="noConversion"/>
  </si>
  <si>
    <t>quasi-2Dperovskite thick film</t>
    <phoneticPr fontId="3" type="noConversion"/>
  </si>
  <si>
    <t>Durable Flexible Polymer-Encapsulated Cs4PbI6 Thin Film for High Sensitivity X-ray Detection</t>
    <phoneticPr fontId="3" type="noConversion"/>
  </si>
  <si>
    <t>3D-film-inkjet-printed</t>
    <phoneticPr fontId="3" type="noConversion"/>
  </si>
  <si>
    <t>Cs4PbI6</t>
    <phoneticPr fontId="3" type="noConversion"/>
  </si>
  <si>
    <t>(BA)2CsAgBiBr7</t>
    <phoneticPr fontId="3" type="noConversion"/>
  </si>
  <si>
    <t>quasi-2D</t>
    <phoneticPr fontId="3" type="noConversion"/>
  </si>
  <si>
    <t>DMAMAPbI3</t>
    <phoneticPr fontId="3" type="noConversion"/>
  </si>
  <si>
    <t>Monolayer-to-Multilayer Dimensionality Reconstruction in a Hybrid Perovskite for Exploring Bulk Photovoltaic Effect Enables Passive X-ray Detection</t>
    <phoneticPr fontId="3" type="noConversion"/>
  </si>
  <si>
    <r>
      <t xml:space="preserve">polymer-encapsulated </t>
    </r>
    <r>
      <rPr>
        <sz val="13"/>
        <color rgb="FF000000"/>
        <rFont val="等线"/>
        <family val="3"/>
        <charset val="134"/>
        <scheme val="minor"/>
      </rPr>
      <t> </t>
    </r>
    <r>
      <rPr>
        <sz val="11"/>
        <color rgb="FF000000"/>
        <rFont val="等线"/>
        <family val="3"/>
        <charset val="134"/>
        <scheme val="minor"/>
      </rPr>
      <t>thin film-0D</t>
    </r>
    <phoneticPr fontId="3" type="noConversion"/>
  </si>
  <si>
    <t>BA2MA2Pb3I10</t>
    <phoneticPr fontId="1" type="noConversion"/>
  </si>
  <si>
    <t>Quasi-2D Perovskite Crystalline</t>
    <phoneticPr fontId="3" type="noConversion"/>
  </si>
  <si>
    <t>Quasi-2D Perovskite Crystalline Layers for Printable Direct
Conversion X-Ray Imaging</t>
    <phoneticPr fontId="3" type="noConversion"/>
  </si>
  <si>
    <r>
      <t>uτ(cm</t>
    </r>
    <r>
      <rPr>
        <b/>
        <vertAlign val="superscript"/>
        <sz val="11"/>
        <color theme="1"/>
        <rFont val="等线"/>
        <family val="3"/>
        <charset val="134"/>
        <scheme val="minor"/>
      </rPr>
      <t>2</t>
    </r>
    <r>
      <rPr>
        <b/>
        <sz val="11"/>
        <color theme="1"/>
        <rFont val="等线"/>
        <family val="3"/>
        <charset val="134"/>
        <scheme val="minor"/>
      </rPr>
      <t>V</t>
    </r>
    <r>
      <rPr>
        <b/>
        <vertAlign val="superscript"/>
        <sz val="11"/>
        <color theme="1"/>
        <rFont val="Cambria Math"/>
        <family val="2"/>
      </rPr>
      <t>−</t>
    </r>
    <r>
      <rPr>
        <b/>
        <vertAlign val="superscript"/>
        <sz val="11"/>
        <color theme="1"/>
        <rFont val="等线"/>
        <family val="3"/>
        <charset val="134"/>
        <scheme val="minor"/>
      </rPr>
      <t>1</t>
    </r>
    <r>
      <rPr>
        <b/>
        <sz val="11"/>
        <color theme="1"/>
        <rFont val="等线"/>
        <family val="3"/>
        <charset val="134"/>
        <scheme val="minor"/>
      </rPr>
      <t>)</t>
    </r>
    <phoneticPr fontId="3" type="noConversion"/>
  </si>
  <si>
    <t>Room-Temperature Ferroelectric Material Composed of a Two-Dimensional Metal Halide Double Perovskite for X-ray Detection</t>
    <phoneticPr fontId="3" type="noConversion"/>
  </si>
  <si>
    <t>Three-Dimensional Lead Iodide Perovskitoid Hybrids with High X-ray Photoresponse</t>
    <phoneticPr fontId="3" type="noConversion"/>
  </si>
  <si>
    <t>planar</t>
    <phoneticPr fontId="3" type="noConversion"/>
  </si>
  <si>
    <t>Cs3Bi2I9</t>
    <phoneticPr fontId="3" type="noConversion"/>
  </si>
  <si>
    <t>Top-Seed Solution-Based Growth of Perovskite Cs3Bi2I9 Single Crystal for High Performance X-ray Detection</t>
    <phoneticPr fontId="1" type="noConversion"/>
  </si>
  <si>
    <t>High-Performance X-Ray Detector Based on Liquid Diffused Separation Induced Cs3Bi2I9 Single Crystal</t>
    <phoneticPr fontId="1" type="noConversion"/>
  </si>
  <si>
    <t>Quasi‐2D Perovskite Thick Film for X‐Ray Detection with Low Detection Limit</t>
    <phoneticPr fontId="1" type="noConversion"/>
  </si>
  <si>
    <t xml:space="preserve">3Dperovskite thick film
</t>
    <phoneticPr fontId="3" type="noConversion"/>
  </si>
  <si>
    <t>Lead-free halide perovskite Cs3Bi2Br9 single crystals for high-performance X-ray detection</t>
    <phoneticPr fontId="3" type="noConversion"/>
  </si>
  <si>
    <r>
      <t>1</t>
    </r>
    <r>
      <rPr>
        <sz val="11"/>
        <color theme="1"/>
        <rFont val="等线"/>
        <family val="3"/>
        <charset val="134"/>
        <scheme val="minor"/>
      </rPr>
      <t>D</t>
    </r>
    <phoneticPr fontId="3" type="noConversion"/>
  </si>
  <si>
    <t>A-Site Diamine Cation Anchoring Enables Efficient Charge Transfer and Suppressed Ion Migration in Bi-Based Hybrid Perovskite Single
Crystals</t>
    <phoneticPr fontId="1" type="noConversion"/>
  </si>
  <si>
    <t>Self-Powered FA0.55MA0.45PbI3 Single-Crystal Perovskite X-Ray Detectors with High Sensitivity</t>
    <phoneticPr fontId="1" type="noConversion"/>
  </si>
  <si>
    <t>Self-Powered FA0.55MA0.45PbI3 Single-Crystal Perovskite X-Ray Detectors with High Sensitivity</t>
    <phoneticPr fontId="3" type="noConversion"/>
  </si>
  <si>
    <t>Cs2AgBiBr6 film</t>
    <phoneticPr fontId="1" type="noConversion"/>
  </si>
  <si>
    <t>double
perovskite</t>
    <phoneticPr fontId="3" type="noConversion"/>
  </si>
  <si>
    <t>double
perovskite</t>
    <phoneticPr fontId="1" type="noConversion"/>
  </si>
  <si>
    <t>3D</t>
    <phoneticPr fontId="1" type="noConversion"/>
  </si>
  <si>
    <t>0D</t>
    <phoneticPr fontId="3" type="noConversion"/>
  </si>
  <si>
    <t>0D</t>
    <phoneticPr fontId="1" type="noConversion"/>
  </si>
  <si>
    <t>AG3Bi2I9</t>
    <phoneticPr fontId="1" type="noConversion"/>
  </si>
  <si>
    <t xml:space="preserve"> (4AEPy)2PbI4 </t>
    <phoneticPr fontId="1" type="noConversion"/>
  </si>
  <si>
    <t>2D</t>
    <phoneticPr fontId="1" type="noConversion"/>
  </si>
  <si>
    <t>MPAZE-NH4I3 · H2O</t>
    <phoneticPr fontId="1" type="noConversion"/>
  </si>
  <si>
    <t>3D</t>
    <phoneticPr fontId="1" type="noConversion"/>
  </si>
  <si>
    <t xml:space="preserve">vertical </t>
    <phoneticPr fontId="1" type="noConversion"/>
  </si>
  <si>
    <t>planar</t>
    <phoneticPr fontId="1" type="noConversion"/>
  </si>
  <si>
    <t>13.7432 Å</t>
    <phoneticPr fontId="1" type="noConversion"/>
  </si>
  <si>
    <t>1D-Flexible</t>
    <phoneticPr fontId="1" type="noConversion"/>
  </si>
  <si>
    <t xml:space="preserve"> FAPbBr3/NiOx </t>
    <phoneticPr fontId="1" type="noConversion"/>
  </si>
  <si>
    <t xml:space="preserve">vertical </t>
    <phoneticPr fontId="3" type="noConversion"/>
  </si>
  <si>
    <t>Halide-modulated self-assembly of metal-free perovskite single crystals for bio-friendly X-ray detection</t>
    <phoneticPr fontId="3" type="noConversion"/>
  </si>
  <si>
    <t>0D-wafer</t>
    <phoneticPr fontId="3" type="noConversion"/>
  </si>
  <si>
    <t>3D-wafer</t>
    <phoneticPr fontId="1" type="noConversion"/>
  </si>
  <si>
    <t>MAPbI3</t>
    <phoneticPr fontId="1" type="noConversion"/>
  </si>
  <si>
    <t>MAPbI3/EDDI</t>
    <phoneticPr fontId="1" type="noConversion"/>
  </si>
  <si>
    <t>（PEA）2PbI4</t>
    <phoneticPr fontId="3" type="noConversion"/>
  </si>
  <si>
    <t xml:space="preserve">(DGA)PbI4 </t>
    <phoneticPr fontId="1" type="noConversion"/>
  </si>
  <si>
    <t>m-F-PEA2PbI4</t>
    <phoneticPr fontId="1" type="noConversion"/>
  </si>
  <si>
    <t>2D</t>
    <phoneticPr fontId="1" type="noConversion"/>
  </si>
  <si>
    <t>FA3Bi2Br9</t>
    <phoneticPr fontId="1" type="noConversion"/>
  </si>
  <si>
    <t>(1,5-PDA)BiI5.</t>
    <phoneticPr fontId="1" type="noConversion"/>
  </si>
  <si>
    <t>double perovskite</t>
    <phoneticPr fontId="1" type="noConversion"/>
  </si>
  <si>
    <t>2D-wafer</t>
    <phoneticPr fontId="1" type="noConversion"/>
  </si>
  <si>
    <t>FAPbI3</t>
    <phoneticPr fontId="1" type="noConversion"/>
  </si>
  <si>
    <t>0D</t>
    <phoneticPr fontId="1" type="noConversion"/>
  </si>
  <si>
    <t>planar</t>
    <phoneticPr fontId="3" type="noConversion"/>
  </si>
  <si>
    <t>coplanar</t>
    <phoneticPr fontId="1" type="noConversion"/>
  </si>
  <si>
    <t>Cs3Bi2I9</t>
    <phoneticPr fontId="1" type="noConversion"/>
  </si>
  <si>
    <t>Highly Sensitive X‐Ray Detector Made of Large Lead‐Free Perovskite Cs3Bi2I9 Single Crystals with Anisotropic Response</t>
    <phoneticPr fontId="1" type="noConversion"/>
  </si>
  <si>
    <t>Room-temperature liquid diffused separation induced crystallization for high-quality perovskite single crystals</t>
    <phoneticPr fontId="3" type="noConversion"/>
  </si>
  <si>
    <t>quasi monocrystalline-3D</t>
    <phoneticPr fontId="1" type="noConversion"/>
  </si>
  <si>
    <t>MA0.42FA0.58PbI3</t>
    <phoneticPr fontId="1" type="noConversion"/>
  </si>
  <si>
    <r>
      <t>trap density(cm</t>
    </r>
    <r>
      <rPr>
        <b/>
        <vertAlign val="superscript"/>
        <sz val="11"/>
        <color theme="1"/>
        <rFont val="等线"/>
        <family val="3"/>
        <charset val="134"/>
        <scheme val="minor"/>
      </rPr>
      <t>–3</t>
    </r>
    <r>
      <rPr>
        <b/>
        <sz val="11"/>
        <color theme="1"/>
        <rFont val="等线"/>
        <family val="3"/>
        <charset val="134"/>
        <scheme val="minor"/>
      </rPr>
      <t>)</t>
    </r>
    <phoneticPr fontId="3" type="noConversion"/>
  </si>
  <si>
    <t>Ultrasound-Assisted Crystallization Enables Large-Area Perovskite Quasi-Monocrystalline Film for High-Sensitive X-ray Detection and Imaging</t>
    <phoneticPr fontId="1" type="noConversion"/>
  </si>
  <si>
    <t>Inch‐Size Single Crystals of Lead‐Free Chiral Perovskites with Bulk Photovoltaic Effect for Stable Self‐Driven X‐Ray Detection</t>
    <phoneticPr fontId="1" type="noConversion"/>
  </si>
  <si>
    <t>MDABCO-NH4(PF6)3</t>
    <phoneticPr fontId="1" type="noConversion"/>
  </si>
  <si>
    <t>Metal-free perovskites</t>
    <phoneticPr fontId="1" type="noConversion"/>
  </si>
  <si>
    <t>PF(6) (-) Pseudohalides Anion based Metal-Free Perovskite Single Crystal for Stable X-ray Detector to Attain Record Sensitivity</t>
    <phoneticPr fontId="1" type="noConversion"/>
  </si>
  <si>
    <t xml:space="preserve"> Low Dimensional, Metal-Free, Hydrazinium Halide Perovskite-Related Single Crystals and Their Use as X-Ray Detectors</t>
    <phoneticPr fontId="1" type="noConversion"/>
  </si>
  <si>
    <t>(DPA)2BiI9</t>
    <phoneticPr fontId="1" type="noConversion"/>
  </si>
  <si>
    <r>
      <rPr>
        <sz val="11"/>
        <color theme="1"/>
        <rFont val="等线"/>
        <family val="3"/>
        <charset val="134"/>
      </rPr>
      <t>δ</t>
    </r>
    <r>
      <rPr>
        <sz val="11"/>
        <color theme="1"/>
        <rFont val="等线"/>
        <family val="2"/>
        <charset val="134"/>
      </rPr>
      <t>-</t>
    </r>
    <r>
      <rPr>
        <sz val="11"/>
        <color theme="1"/>
        <rFont val="等线"/>
        <family val="2"/>
        <charset val="134"/>
        <scheme val="minor"/>
      </rPr>
      <t>FAPbI3</t>
    </r>
    <phoneticPr fontId="1" type="noConversion"/>
  </si>
  <si>
    <t>1D-wafer</t>
    <phoneticPr fontId="1" type="noConversion"/>
  </si>
  <si>
    <t>Supple Formamidinium-Based Low-Dimension Perovskite Derivative for Sensitive and Ultrastable X-ray Detection</t>
    <phoneticPr fontId="1" type="noConversion"/>
  </si>
  <si>
    <t>2D</t>
    <phoneticPr fontId="1" type="noConversion"/>
  </si>
  <si>
    <t>Chirality Inducing Polar Photovoltage in a 2DLead-Free Double Perovskite toward Self-Powered X‑ray Detection</t>
    <phoneticPr fontId="1" type="noConversion"/>
  </si>
  <si>
    <t>Low Bandgap 2D Perovskite Single Crystal with Anomalous-large Charges/ions Collection Ratio for Ultra-sensitive and Stable X-ray Detectors</t>
    <phoneticPr fontId="1" type="noConversion"/>
  </si>
  <si>
    <t>2D</t>
    <phoneticPr fontId="1" type="noConversion"/>
  </si>
  <si>
    <t>(HIS)2AgSbBr8</t>
    <phoneticPr fontId="1" type="noConversion"/>
  </si>
  <si>
    <t>Centimeter-Sized Single Crystals of Dion-Jacobson Phase Lead-Free Double Perovskite for Efficient X-ray Detection</t>
    <phoneticPr fontId="1" type="noConversion"/>
  </si>
  <si>
    <r>
      <t>CsPbBr</t>
    </r>
    <r>
      <rPr>
        <sz val="10"/>
        <color rgb="FF000000"/>
        <rFont val="Georgia"/>
        <family val="1"/>
      </rPr>
      <t>3</t>
    </r>
    <phoneticPr fontId="3" type="noConversion"/>
  </si>
  <si>
    <t>Self-Powered Photodetector Based on Perovskite/NiOxHeterostructure for Sensitive Visible Light and X-Ray Detection</t>
    <phoneticPr fontId="1" type="noConversion"/>
  </si>
  <si>
    <t>High-Performance and Self-Powered X-Ray Detectors Made of Smooth Perovskite Microcrystalline Films with 100 μm Grains</t>
    <phoneticPr fontId="1" type="noConversion"/>
  </si>
  <si>
    <t>3D-polycrystalline
films</t>
    <phoneticPr fontId="1" type="noConversion"/>
  </si>
  <si>
    <t>FA0.5MA0.5PbI3</t>
    <phoneticPr fontId="1" type="noConversion"/>
  </si>
  <si>
    <t>3D-microcrystalline
films</t>
    <phoneticPr fontId="1" type="noConversion"/>
  </si>
  <si>
    <t>Flexible Perovskite X‐Ray Detectors through Interfacial Modification with Perylene Diimide</t>
  </si>
  <si>
    <t>BA2MA9Pb10I31</t>
    <phoneticPr fontId="1" type="noConversion"/>
  </si>
  <si>
    <t>Quasi-2D Perovskite Crystalline</t>
    <phoneticPr fontId="1" type="noConversion"/>
  </si>
  <si>
    <t>Quasi-2D Perovskite film</t>
    <phoneticPr fontId="1" type="noConversion"/>
  </si>
  <si>
    <t>MAPbI3</t>
    <phoneticPr fontId="1" type="noConversion"/>
  </si>
  <si>
    <t>3D-wafer</t>
    <phoneticPr fontId="1" type="noConversion"/>
  </si>
  <si>
    <t>Suppressing the ion migration in halideperovskite wafers for current-drift free X-ray detectors</t>
    <phoneticPr fontId="1" type="noConversion"/>
  </si>
  <si>
    <t>FAPbBr3/NiOx heterostructure</t>
    <phoneticPr fontId="1" type="noConversion"/>
  </si>
  <si>
    <t>3D</t>
    <phoneticPr fontId="1" type="noConversion"/>
  </si>
  <si>
    <t>Self-Powered Photodetector Based on Perovskite/NiOxHeterostructure for Sensitive Visible Light and X-RayDetection</t>
    <phoneticPr fontId="1" type="noConversion"/>
  </si>
  <si>
    <t>Quasi‐2D Perovskite Thick Film for X‐Ray Detection with Low Detection Limit</t>
    <phoneticPr fontId="1" type="noConversion"/>
  </si>
  <si>
    <t>High-performance direct conversion X-ray detectors based on sintered hybrid lead triiodide perovskite wafers</t>
    <phoneticPr fontId="1" type="noConversion"/>
  </si>
  <si>
    <t>Green solvent blade-coated MA3Bi2I9 for direct-conversion X-ray detectors</t>
    <phoneticPr fontId="3" type="noConversion"/>
  </si>
  <si>
    <t>Molecular Doping of Flexible Lead-Free Perovskite-Polymer Thick Membranes for High-Performance X-Ray Detection</t>
    <phoneticPr fontId="3" type="noConversion"/>
  </si>
  <si>
    <t>Oriented 2D Perovskite Wafers for Anisotropic X-ray
Detection through a Fast Tableting Strategy</t>
    <phoneticPr fontId="3" type="noConversion"/>
  </si>
  <si>
    <t>Synergistic strain engineering of perovskite single crystals for highly stable and sensitive X-ray detectors with low-bias imaging and monitoring</t>
    <phoneticPr fontId="3" type="noConversion"/>
  </si>
  <si>
    <t>Mixed-Cation MAxCs1−xPbBr3 Perovskite Single Crystals with Composition Management for High-Sensitivity X-Ray Detection</t>
    <phoneticPr fontId="3" type="noConversion"/>
  </si>
  <si>
    <t>High-sensitivity X-ray Detectors Based on Solution-grown Caesium Lead Bromine Single Crystals</t>
    <phoneticPr fontId="3" type="noConversion"/>
  </si>
  <si>
    <t>Detection of X-Rays by Solution-Processed Cesium-Containing
Mixed Triple Cation Perovskite Thin Films</t>
    <phoneticPr fontId="3" type="noConversion"/>
  </si>
  <si>
    <t>Wafer-Scale Photolithography-Pixeled Pb-Free
Perovskite X‑ray Detectors</t>
    <phoneticPr fontId="3" type="noConversion"/>
  </si>
  <si>
    <t>Self-Powered X-ray Detection and Imaging using Cs2AgBiCl6 Lead-Free Double Perovskite Single Crystal</t>
    <phoneticPr fontId="3" type="noConversion"/>
  </si>
  <si>
    <t>Controlled Cooling for Synthesis of Cs2AgBiBr6 Single Crystals and Its Application for X-Ray Detection</t>
    <phoneticPr fontId="3" type="noConversion"/>
  </si>
  <si>
    <t>Methylamine‐Assisted Preparation of Ruddlesden‐Popper Perovskites for Stable Detection and Imaging of X‐Rays</t>
    <phoneticPr fontId="3" type="noConversion"/>
  </si>
  <si>
    <t>Enhanced Carrier Transport in X-Ray Detector Based on Cs3Bi2I9/MXene Composite Wafers</t>
    <phoneticPr fontId="3" type="noConversion"/>
  </si>
  <si>
    <t>Low‐Temperature Melt Processing Monolithic Integration of Organic Manganese (II) Bromide Wafers with Pixelated Substrate for High Sensitivity X‐Ray Imaging</t>
    <phoneticPr fontId="3" type="noConversion"/>
  </si>
  <si>
    <t>All-Vacuum-Deposited Perovskite X-ray Detector with a Record-High Self-Powered Sensitivity of 1.2 C Gy–1 cm–3</t>
    <phoneticPr fontId="3" type="noConversion"/>
  </si>
  <si>
    <t>Low Trap Density Para-F Substituted 2D PEA2PbX4 (X = Cl, Br, I) Single Crystals with Tunable Optoelectrical Properties and High Sensitive X-Ray Detector Performance</t>
    <phoneticPr fontId="3" type="noConversion"/>
  </si>
  <si>
    <t>Sequential Growth of 2D/3D Double-Layer Perovskite Films with Superior X-Ray Detection Performance</t>
    <phoneticPr fontId="3" type="noConversion"/>
  </si>
  <si>
    <t>CsPbBr3 Single Crystal X-ray Detector with Schottky Barrier for X-ray Imaging Application</t>
    <phoneticPr fontId="3" type="noConversion"/>
  </si>
  <si>
    <t>Photophysical Pathways in Highly Sensitive Cs2 AgBiBr6 Double-Perovskite Single-Crystal X-Ray Detectors</t>
    <phoneticPr fontId="3" type="noConversion"/>
  </si>
  <si>
    <t>In Situ Regulating the Order–Disorder Phase Transition in Cs2AgBiBr6 Single Crystal toward the Application in an X‐Ray Detector</t>
    <phoneticPr fontId="3" type="noConversion"/>
  </si>
  <si>
    <t>Encapsulated X-Ray Detector Enabled by All-Inorganic Lead-Free Perovskite Film With High Sensitivity and Low Detection Limit</t>
    <phoneticPr fontId="3" type="noConversion"/>
  </si>
  <si>
    <t>Effects of Fluorinated Aromatic Spacer in Ag–Bi Double Perovskite for X-ray Detector</t>
    <phoneticPr fontId="3" type="noConversion"/>
  </si>
  <si>
    <t>Interlayer-Spacing Engineering of Lead-Free Perovskite Single Crystal for High-Performance
X-ray Imaging</t>
    <phoneticPr fontId="3" type="noConversion"/>
  </si>
  <si>
    <t>Prominent Free Charges Tunneling Through Organic Interlayer of 2D Perovskites</t>
    <phoneticPr fontId="3" type="noConversion"/>
  </si>
  <si>
    <t>Hydrogen Bonds Strengthened Metal-Free Perovskite for Degradable
X-ray Detector with Enhanced Stability, Flexibility and Sensitivity</t>
    <phoneticPr fontId="3" type="noConversion"/>
  </si>
  <si>
    <t>Additive‐Enhanced Crystallization of Inorganic Perovskite Single Crystals for High‐Sensitivity X‐Ray Detection</t>
    <phoneticPr fontId="3" type="noConversion"/>
  </si>
  <si>
    <t>Ultra-High Flux X-Ray Detection by Solution-Grown Perovskite CsPbBr(3) Single Crystal Semiconductor Detector</t>
    <phoneticPr fontId="3" type="noConversion"/>
  </si>
  <si>
    <t>Anisotropic X-ray detection performance of melt-grown CsPbBr3 single crystals</t>
    <phoneticPr fontId="3" type="noConversion"/>
  </si>
  <si>
    <t>improving the Performance and High-Field Stability
of FAPbBr3 Single Crystals in X-Ray Detection with
Chenodeoxycholic Acid Additive</t>
    <phoneticPr fontId="3" type="noConversion"/>
  </si>
  <si>
    <t>Perovskite-like Silver Halide Single-Crystal Microbelt Enables Ultrasensitive Flexible X-ray Detectors</t>
    <phoneticPr fontId="3" type="noConversion"/>
  </si>
  <si>
    <t>Suppressing the Ion Migration in Halide Perovskite Wafers for Current-Drift Free X-ray Detectors</t>
    <phoneticPr fontId="3" type="noConversion"/>
  </si>
  <si>
    <t>A‑Site Cation Engineering of Ruddlesden−Popper Perovskites for
Stable, Sensitive, and Portable Direct Conversion X‑ray Imaging
Detectors</t>
    <phoneticPr fontId="3" type="noConversion"/>
  </si>
  <si>
    <t>Electron‐Phonon Coupling Suppression by Enhanced Lattice Rigidity in 2D Perovskite Single Crystals for High‐Performance X‐Ray Detection</t>
    <phoneticPr fontId="3" type="noConversion"/>
  </si>
  <si>
    <t>A centimeter-scaled lead-free two-dimensional perovskite FA3Bi2Br9 single crystal for X-ray detection</t>
    <phoneticPr fontId="3" type="noConversion"/>
  </si>
  <si>
    <t xml:space="preserve"> One-dimensional lead-free perovskite single crystals with high X-ray response grown by liquid phase diffusion</t>
    <phoneticPr fontId="3" type="noConversion"/>
  </si>
  <si>
    <t>0D triiodide hybrid halide perovskite for X-ray detection</t>
    <phoneticPr fontId="3" type="noConversion"/>
  </si>
  <si>
    <t>A lead-free I-based hybrid double perovskite (I-C4H8NH3)4AgBiI8 for X-ray detection</t>
    <phoneticPr fontId="3" type="noConversion"/>
  </si>
  <si>
    <t>X-Site Substituted 2D Cs(2) Pb(SCN)(2) Br(2) Perovskites for X-Ray Detection</t>
    <phoneticPr fontId="3" type="noConversion"/>
  </si>
  <si>
    <t xml:space="preserve"> Lattice engineering for stabilized black FAPbI3 perovskite single crystals for high-resolution x-ray imaging at the lowest dose</t>
    <phoneticPr fontId="3" type="noConversion"/>
  </si>
  <si>
    <t>TMCM-CdCl3</t>
    <phoneticPr fontId="3" type="noConversion"/>
  </si>
  <si>
    <t>Centimeter-Sized Molecular Perovskite Crystal for Efficient
X-Ray Detection</t>
    <phoneticPr fontId="3" type="noConversion"/>
  </si>
  <si>
    <t>DABCO-NH4Br3</t>
    <phoneticPr fontId="3" type="noConversion"/>
  </si>
  <si>
    <t>MAPbI3</t>
    <phoneticPr fontId="3" type="noConversion"/>
  </si>
  <si>
    <t>CsPbBr3</t>
    <phoneticPr fontId="3" type="noConversion"/>
  </si>
  <si>
    <t>FAPbBr3</t>
    <phoneticPr fontId="3" type="noConversion"/>
  </si>
  <si>
    <t>Rb3Bi2I9</t>
    <phoneticPr fontId="3" type="noConversion"/>
  </si>
  <si>
    <t>(CPA)4AgBiBr8</t>
    <phoneticPr fontId="3" type="noConversion"/>
  </si>
  <si>
    <t xml:space="preserve"> (CH3OC3H9N)2PbBr4</t>
    <phoneticPr fontId="3" type="noConversion"/>
  </si>
  <si>
    <t>DABCO-NH4Cl3-H20</t>
    <phoneticPr fontId="3" type="noConversion"/>
  </si>
  <si>
    <t>DABCO-NH4Br3-H20</t>
    <phoneticPr fontId="3" type="noConversion"/>
  </si>
  <si>
    <t>DABCO-NH4I3-H20</t>
    <phoneticPr fontId="3" type="noConversion"/>
  </si>
  <si>
    <t xml:space="preserve">CsPbI2Br </t>
    <phoneticPr fontId="3" type="noConversion"/>
  </si>
  <si>
    <t>Cs2AgBiBr6</t>
    <phoneticPr fontId="3" type="noConversion"/>
  </si>
  <si>
    <t>(BAH)BiI4</t>
    <phoneticPr fontId="3" type="noConversion"/>
  </si>
  <si>
    <t>(PDA)BiBr5</t>
    <phoneticPr fontId="3" type="noConversion"/>
  </si>
  <si>
    <t>(H2MDAP)BiI5</t>
    <phoneticPr fontId="3" type="noConversion"/>
  </si>
  <si>
    <t xml:space="preserve">(I-BA)4AgBiI8 </t>
    <phoneticPr fontId="3" type="noConversion"/>
  </si>
  <si>
    <t>(F-PEA)3BiI6</t>
    <phoneticPr fontId="1" type="noConversion"/>
  </si>
  <si>
    <t xml:space="preserve">Cs2AgBiCl6 </t>
    <phoneticPr fontId="1" type="noConversion"/>
  </si>
  <si>
    <t>(FPEA)4AgBiBr8</t>
    <phoneticPr fontId="1" type="noConversion"/>
  </si>
  <si>
    <t xml:space="preserve"> (4AEPy)PbI4 </t>
    <phoneticPr fontId="1" type="noConversion"/>
  </si>
  <si>
    <t>CsAg2I3</t>
    <phoneticPr fontId="1" type="noConversion"/>
  </si>
  <si>
    <t>(I-BA)4AgBiI8</t>
    <phoneticPr fontId="1" type="noConversion"/>
  </si>
  <si>
    <t>Cs2Pb(SCN)2Br2</t>
    <phoneticPr fontId="1" type="noConversion"/>
  </si>
  <si>
    <t>(R-PPA)2BiI5</t>
    <phoneticPr fontId="1" type="noConversion"/>
  </si>
  <si>
    <t>DABCO-
N2H5Br3</t>
    <phoneticPr fontId="1" type="noConversion"/>
  </si>
  <si>
    <t>DABCO-
N2H5I3</t>
    <phoneticPr fontId="1" type="noConversion"/>
  </si>
  <si>
    <t>(R-MPA)4AgBiI8</t>
    <phoneticPr fontId="3" type="noConversion"/>
  </si>
  <si>
    <t>(GABA)2PbBr4</t>
    <phoneticPr fontId="1" type="noConversion"/>
  </si>
  <si>
    <t>[Cu(O2C (CH2)3 NH3)2]PbBr4</t>
    <phoneticPr fontId="1" type="noConversion"/>
  </si>
  <si>
    <t>Cs3Bi2Br9</t>
    <phoneticPr fontId="3" type="noConversion"/>
  </si>
  <si>
    <t>Cs2AgBiBr6</t>
    <phoneticPr fontId="1" type="noConversion"/>
  </si>
  <si>
    <t>1D</t>
    <phoneticPr fontId="3" type="noConversion"/>
  </si>
  <si>
    <t>Z\-(A)</t>
  </si>
  <si>
    <t>Z\-(B)</t>
  </si>
  <si>
    <t>Z\-(C)</t>
  </si>
  <si>
    <t>Z\-(Total)</t>
  </si>
  <si>
    <t>a</t>
  </si>
  <si>
    <t>b</t>
  </si>
  <si>
    <t>c</t>
  </si>
  <si>
    <t>α</t>
  </si>
  <si>
    <t>β</t>
  </si>
  <si>
    <t>γ</t>
  </si>
  <si>
    <t>Eg</t>
  </si>
  <si>
    <t>uτ</t>
  </si>
  <si>
    <t>RT</t>
  </si>
  <si>
    <t>Sensitivity</t>
  </si>
  <si>
    <t>Detection limit</t>
  </si>
  <si>
    <r>
      <t>lattice angle/</t>
    </r>
    <r>
      <rPr>
        <b/>
        <sz val="11"/>
        <color theme="1"/>
        <rFont val="Symbol"/>
        <family val="1"/>
        <charset val="2"/>
      </rPr>
      <t>a</t>
    </r>
    <r>
      <rPr>
        <b/>
        <sz val="11"/>
        <color theme="1"/>
        <rFont val="等线"/>
        <family val="3"/>
        <charset val="134"/>
        <scheme val="minor"/>
      </rPr>
      <t>°</t>
    </r>
    <phoneticPr fontId="3" type="noConversion"/>
  </si>
  <si>
    <r>
      <t>lattice angle/</t>
    </r>
    <r>
      <rPr>
        <b/>
        <sz val="11"/>
        <color theme="1"/>
        <rFont val="Symbol"/>
        <family val="1"/>
        <charset val="2"/>
      </rPr>
      <t>b</t>
    </r>
    <r>
      <rPr>
        <b/>
        <sz val="11"/>
        <color theme="1"/>
        <rFont val="等线"/>
        <family val="3"/>
        <charset val="134"/>
        <scheme val="minor"/>
      </rPr>
      <t>°</t>
    </r>
    <phoneticPr fontId="3" type="noConversion"/>
  </si>
  <si>
    <r>
      <t>lattice angle/</t>
    </r>
    <r>
      <rPr>
        <b/>
        <sz val="11"/>
        <color theme="1"/>
        <rFont val="Symbol"/>
        <family val="1"/>
        <charset val="2"/>
      </rPr>
      <t>g</t>
    </r>
    <r>
      <rPr>
        <b/>
        <sz val="11"/>
        <color theme="1"/>
        <rFont val="等线"/>
        <family val="3"/>
        <charset val="134"/>
        <scheme val="minor"/>
      </rPr>
      <t>°</t>
    </r>
    <phoneticPr fontId="3" type="noConversion"/>
  </si>
  <si>
    <t>1D</t>
    <phoneticPr fontId="3" type="noConversion"/>
  </si>
  <si>
    <t>double perovskite-3D</t>
    <phoneticPr fontId="3" type="noConversion"/>
  </si>
  <si>
    <t>3D Lead‐Free Double Perovskite via Anchoring A‐Site Cation for Ultralow Dose and Stable X‐Ray Detection</t>
    <phoneticPr fontId="3" type="noConversion"/>
  </si>
  <si>
    <t>(Mor)2RbSbI6</t>
    <phoneticPr fontId="3" type="noConversion"/>
  </si>
  <si>
    <t>(BZA)2(R/S-PPA)BiI6</t>
    <phoneticPr fontId="3" type="noConversion"/>
  </si>
  <si>
    <t>0D</t>
    <phoneticPr fontId="3" type="noConversion"/>
  </si>
  <si>
    <t>Chiral-Achiral Cations Intercalation Induced Lead-Free Chiral-Polar Hybrid Perovskites Enable Self-Powered X-Ray and Ultraviolet–Visible–Near-Infrared Photo Detection</t>
    <phoneticPr fontId="3" type="noConversion"/>
  </si>
  <si>
    <t>2D</t>
    <phoneticPr fontId="3" type="noConversion"/>
  </si>
  <si>
    <t>(BPEA)2PbI4</t>
    <phoneticPr fontId="3" type="noConversion"/>
  </si>
  <si>
    <t>Multiple Interlayer Interactions Enable Highly Stable X-ray Detection in 2D Hybrid Perovskites</t>
    <phoneticPr fontId="3" type="noConversion"/>
  </si>
  <si>
    <t>(HIS)BiI5</t>
    <phoneticPr fontId="3" type="noConversion"/>
  </si>
  <si>
    <t xml:space="preserve"> Lead-Free Bismuth-Based Perovskite X-ray Detector with High Sensitivity and Low Detection Limit</t>
    <phoneticPr fontId="3" type="noConversion"/>
  </si>
  <si>
    <t>Dion‐Jacobson 2D Perovskite 2AMPPbBr4 with Type II Band Alignment for Highly Sensitive X‐Ray Detection</t>
    <phoneticPr fontId="3" type="noConversion"/>
  </si>
  <si>
    <t>(DFBZA)2PbCl4</t>
    <phoneticPr fontId="3" type="noConversion"/>
  </si>
  <si>
    <t>(2AMPPbBr4</t>
    <phoneticPr fontId="3" type="noConversion"/>
  </si>
  <si>
    <t>Achieving Effective Self-Driven X-ray Detection Sensitivity via Pyroelectric–Photovoltaic Coupling in a Layered Perovskite Pyroelectric</t>
    <phoneticPr fontId="3" type="noConversion"/>
  </si>
  <si>
    <t xml:space="preserve">MTP3Bi2I9 </t>
    <phoneticPr fontId="3" type="noConversion"/>
  </si>
  <si>
    <t>Tailoring Multi-Phenyl Ring Cation for Stable Scalable Hybrid Bismuth Iodide Amorphous Film: Enabling Record Sensitivity and High-Performance X-ray Array Imaging</t>
    <phoneticPr fontId="3" type="noConversion"/>
  </si>
  <si>
    <r>
      <t>resistivity((</t>
    </r>
    <r>
      <rPr>
        <b/>
        <sz val="11"/>
        <color theme="1"/>
        <rFont val="等线"/>
        <family val="2"/>
        <charset val="134"/>
        <scheme val="minor"/>
      </rPr>
      <t>Ω</t>
    </r>
    <r>
      <rPr>
        <b/>
        <sz val="11"/>
        <color theme="1"/>
        <rFont val="等线"/>
        <family val="3"/>
        <charset val="134"/>
        <scheme val="minor"/>
      </rPr>
      <t xml:space="preserve"> cm)</t>
    </r>
    <phoneticPr fontId="3" type="noConversion"/>
  </si>
  <si>
    <t>(R-MPA)(BrEA)PbBr4</t>
    <phoneticPr fontId="3" type="noConversion"/>
  </si>
  <si>
    <t>Bromine-Substituted Cation Anchoring to Suppress Ion Migration in Alternating Cations Intercalation-Type Perovskite for Stable X-Ray Detection</t>
    <phoneticPr fontId="3" type="noConversion"/>
  </si>
  <si>
    <t>EPZPbBr4</t>
    <phoneticPr fontId="3" type="noConversion"/>
  </si>
  <si>
    <t>Stereo-Hindrance Engineering of A Cation toward &lt;110&gt;-Oriented 2D Perovskite with Minimized Tilting and High-Performance X-Ray Detection</t>
    <phoneticPr fontId="3" type="noConversion"/>
  </si>
  <si>
    <t>HAPbI4</t>
    <phoneticPr fontId="3" type="noConversion"/>
  </si>
  <si>
    <t>Dark Current Suppression in Two-dimensional Histamine Lead Iodine Perovskite Single Crystal for X-ray Detection and Imaging</t>
    <phoneticPr fontId="3" type="noConversion"/>
  </si>
  <si>
    <t xml:space="preserve">MhyPbBr3 </t>
    <phoneticPr fontId="3" type="noConversion"/>
  </si>
  <si>
    <t>CsPb2Br5</t>
    <phoneticPr fontId="3" type="noConversion"/>
  </si>
  <si>
    <t>Ligand-Assisted Growth of2D Perovskite Single Crystal for Highly Sensitive X-Ray Detectors</t>
    <phoneticPr fontId="3" type="noConversion"/>
  </si>
  <si>
    <t>Three-Dimensional Polar Perovskites for Highly Sensitive SelfDriven X-Ray Detection</t>
    <phoneticPr fontId="3" type="noConversion"/>
  </si>
  <si>
    <t xml:space="preserve">( R )-(H2 MPz)BiI5 </t>
    <phoneticPr fontId="3" type="noConversion"/>
  </si>
  <si>
    <t>HPIP2-NH4I5</t>
    <phoneticPr fontId="3" type="noConversion"/>
  </si>
  <si>
    <t>Dimensional Regulation in Metal-Free Perovskites by Compositional Engineering to Achieve Record Low X-Ray Detection Limits</t>
    <phoneticPr fontId="3" type="noConversion"/>
  </si>
  <si>
    <t>Exploring centimeter-sized crystals of bismuth-iodide perovskite toward highly sensitive X-ray detection</t>
    <phoneticPr fontId="3" type="noConversion"/>
  </si>
  <si>
    <t xml:space="preserve">DPAPbBr4 </t>
    <phoneticPr fontId="3" type="noConversion"/>
  </si>
  <si>
    <t>planar</t>
    <phoneticPr fontId="3" type="noConversion"/>
  </si>
  <si>
    <t>Spacer Conformation Induced Multiple Hydrogen Bonds in 2D Perovskite toward Highly Efficient Optoelectronic Devices</t>
    <phoneticPr fontId="3" type="noConversion"/>
  </si>
  <si>
    <t>(4-AP)Cs2Pb2I8</t>
    <phoneticPr fontId="3" type="noConversion"/>
  </si>
  <si>
    <t>ACI</t>
    <phoneticPr fontId="3" type="noConversion"/>
  </si>
  <si>
    <t>Building High-Density Polar Hybrid Perovskites via Intercalation of Cs+ and Aromatic Diamine for Passive X‑ray Detection</t>
    <phoneticPr fontId="3" type="noConversion"/>
  </si>
  <si>
    <t>Distorted Lead-Free Germanium-Based Perovskite Single-Crystals for Stable and Efficient X-Ray Detection and Imaging</t>
    <phoneticPr fontId="3" type="noConversion"/>
  </si>
  <si>
    <t>MAGeI3</t>
  </si>
  <si>
    <t>3D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</si>
</sst>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);[Red]\(0.0\)"/>
    <numFmt numFmtId="177" formatCode="0.0000_);[Red]\(0.0000\)"/>
  </numFmts>
  <fonts count="23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rgb="FF000000"/>
      <name val="Georgia"/>
      <family val="1"/>
    </font>
    <font>
      <sz val="12"/>
      <color rgb="FF000000"/>
      <name val="TimesNewRomanPSMT"/>
      <family val="1"/>
    </font>
    <font>
      <b/>
      <sz val="11"/>
      <color theme="1"/>
      <name val="等线"/>
      <family val="3"/>
      <charset val="134"/>
      <scheme val="minor"/>
    </font>
    <font>
      <b/>
      <vertAlign val="subscript"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vertAlign val="superscript"/>
      <sz val="11"/>
      <color theme="1"/>
      <name val="等线"/>
      <family val="3"/>
      <charset val="134"/>
      <scheme val="minor"/>
    </font>
    <font>
      <b/>
      <vertAlign val="superscript"/>
      <sz val="11"/>
      <color theme="1"/>
      <name val="Cambria Math"/>
      <family val="2"/>
    </font>
    <font>
      <sz val="11"/>
      <color rgb="FFFF0000"/>
      <name val="等线"/>
      <family val="2"/>
      <charset val="134"/>
      <scheme val="minor"/>
    </font>
    <font>
      <b/>
      <sz val="11"/>
      <color theme="1"/>
      <name val="Symbol"/>
      <family val="1"/>
      <charset val="2"/>
    </font>
    <font>
      <sz val="11"/>
      <name val="等线"/>
      <family val="2"/>
      <charset val="134"/>
      <scheme val="minor"/>
    </font>
    <font>
      <sz val="13"/>
      <color rgb="FF000000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4"/>
      <color theme="4"/>
      <name val="等线"/>
      <family val="2"/>
      <charset val="134"/>
      <scheme val="minor"/>
    </font>
    <font>
      <sz val="14"/>
      <color theme="4"/>
      <name val="等线"/>
      <family val="3"/>
      <charset val="134"/>
      <scheme val="minor"/>
    </font>
    <font>
      <sz val="11"/>
      <color theme="1"/>
      <name val="等线"/>
      <family val="3"/>
      <charset val="134"/>
    </font>
    <font>
      <sz val="11"/>
      <color theme="1"/>
      <name val="等线"/>
      <family val="2"/>
      <charset val="134"/>
    </font>
    <font>
      <sz val="18"/>
      <color rgb="FF000000"/>
      <name val="等线"/>
      <family val="3"/>
      <charset val="134"/>
      <scheme val="minor"/>
    </font>
    <font>
      <b/>
      <sz val="11"/>
      <color theme="1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2" borderId="1" xfId="0" applyFill="1" applyBorder="1">
      <alignment vertical="center"/>
    </xf>
    <xf numFmtId="177" fontId="0" fillId="3" borderId="1" xfId="0" applyNumberFormat="1" applyFill="1" applyBorder="1">
      <alignment vertical="center"/>
    </xf>
    <xf numFmtId="177" fontId="14" fillId="4" borderId="1" xfId="0" applyNumberFormat="1" applyFont="1" applyFill="1" applyBorder="1">
      <alignment vertical="center"/>
    </xf>
    <xf numFmtId="177" fontId="0" fillId="4" borderId="1" xfId="0" applyNumberFormat="1" applyFill="1" applyBorder="1">
      <alignment vertical="center"/>
    </xf>
    <xf numFmtId="11" fontId="0" fillId="4" borderId="1" xfId="0" applyNumberFormat="1" applyFill="1" applyBorder="1">
      <alignment vertical="center"/>
    </xf>
    <xf numFmtId="0" fontId="2" fillId="4" borderId="1" xfId="0" applyFont="1" applyFill="1" applyBorder="1" applyAlignment="1">
      <alignment vertical="center" wrapText="1"/>
    </xf>
    <xf numFmtId="177" fontId="8" fillId="4" borderId="1" xfId="0" applyNumberFormat="1" applyFont="1" applyFill="1" applyBorder="1">
      <alignment vertical="center"/>
    </xf>
    <xf numFmtId="0" fontId="6" fillId="4" borderId="1" xfId="0" applyFont="1" applyFill="1" applyBorder="1" applyAlignment="1">
      <alignment vertical="center" wrapText="1"/>
    </xf>
    <xf numFmtId="177" fontId="6" fillId="4" borderId="1" xfId="0" applyNumberFormat="1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>
      <alignment vertical="center"/>
    </xf>
    <xf numFmtId="176" fontId="2" fillId="4" borderId="1" xfId="0" applyNumberFormat="1" applyFont="1" applyFill="1" applyBorder="1" applyAlignment="1">
      <alignment vertical="center" wrapText="1"/>
    </xf>
    <xf numFmtId="176" fontId="2" fillId="4" borderId="1" xfId="0" applyNumberFormat="1" applyFont="1" applyFill="1" applyBorder="1">
      <alignment vertical="center"/>
    </xf>
    <xf numFmtId="0" fontId="0" fillId="4" borderId="1" xfId="0" applyFill="1" applyBorder="1">
      <alignment vertical="center"/>
    </xf>
    <xf numFmtId="11" fontId="2" fillId="4" borderId="1" xfId="0" applyNumberFormat="1" applyFont="1" applyFill="1" applyBorder="1">
      <alignment vertical="center"/>
    </xf>
    <xf numFmtId="0" fontId="8" fillId="4" borderId="1" xfId="0" applyFont="1" applyFill="1" applyBorder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177" fontId="2" fillId="4" borderId="1" xfId="0" applyNumberFormat="1" applyFont="1" applyFill="1" applyBorder="1">
      <alignment vertical="center"/>
    </xf>
    <xf numFmtId="11" fontId="8" fillId="4" borderId="1" xfId="0" applyNumberFormat="1" applyFont="1" applyFill="1" applyBorder="1">
      <alignment vertical="center"/>
    </xf>
    <xf numFmtId="0" fontId="0" fillId="4" borderId="1" xfId="0" applyFill="1" applyBorder="1" applyAlignment="1">
      <alignment horizontal="center" vertical="center"/>
    </xf>
    <xf numFmtId="177" fontId="9" fillId="4" borderId="1" xfId="0" applyNumberFormat="1" applyFont="1" applyFill="1" applyBorder="1">
      <alignment vertical="center"/>
    </xf>
    <xf numFmtId="177" fontId="12" fillId="4" borderId="1" xfId="0" applyNumberFormat="1" applyFont="1" applyFill="1" applyBorder="1">
      <alignment vertical="center"/>
    </xf>
    <xf numFmtId="0" fontId="8" fillId="4" borderId="1" xfId="0" applyFont="1" applyFill="1" applyBorder="1" applyAlignment="1">
      <alignment vertical="center" wrapText="1"/>
    </xf>
    <xf numFmtId="0" fontId="12" fillId="4" borderId="1" xfId="0" applyFont="1" applyFill="1" applyBorder="1">
      <alignment vertical="center"/>
    </xf>
    <xf numFmtId="11" fontId="0" fillId="4" borderId="1" xfId="0" applyNumberFormat="1" applyFill="1" applyBorder="1" applyAlignment="1">
      <alignment horizontal="center" vertical="center"/>
    </xf>
    <xf numFmtId="177" fontId="0" fillId="4" borderId="1" xfId="0" applyNumberFormat="1" applyFill="1" applyBorder="1" applyAlignment="1">
      <alignment vertical="center" wrapText="1"/>
    </xf>
    <xf numFmtId="11" fontId="12" fillId="4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11" fontId="8" fillId="4" borderId="1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vertical="center" wrapText="1"/>
    </xf>
    <xf numFmtId="11" fontId="12" fillId="4" borderId="1" xfId="0" applyNumberFormat="1" applyFont="1" applyFill="1" applyBorder="1">
      <alignment vertical="center"/>
    </xf>
    <xf numFmtId="0" fontId="2" fillId="4" borderId="2" xfId="0" applyFont="1" applyFill="1" applyBorder="1">
      <alignment vertical="center"/>
    </xf>
    <xf numFmtId="0" fontId="2" fillId="4" borderId="2" xfId="0" applyFont="1" applyFill="1" applyBorder="1" applyAlignment="1">
      <alignment vertical="center" wrapText="1"/>
    </xf>
    <xf numFmtId="11" fontId="0" fillId="4" borderId="0" xfId="0" applyNumberFormat="1" applyFill="1">
      <alignment vertical="center"/>
    </xf>
    <xf numFmtId="11" fontId="12" fillId="4" borderId="0" xfId="0" applyNumberFormat="1" applyFont="1" applyFill="1">
      <alignment vertical="center"/>
    </xf>
    <xf numFmtId="0" fontId="0" fillId="4" borderId="2" xfId="0" applyFill="1" applyBorder="1" applyAlignment="1">
      <alignment vertical="center"/>
    </xf>
    <xf numFmtId="0" fontId="0" fillId="4" borderId="3" xfId="0" applyFill="1" applyBorder="1" applyAlignment="1">
      <alignment horizontal="center" vertical="center"/>
    </xf>
    <xf numFmtId="0" fontId="0" fillId="4" borderId="0" xfId="0" applyFill="1" applyBorder="1" applyAlignment="1">
      <alignment vertical="center"/>
    </xf>
    <xf numFmtId="0" fontId="0" fillId="4" borderId="0" xfId="0" applyFill="1" applyAlignment="1">
      <alignment vertical="center"/>
    </xf>
    <xf numFmtId="0" fontId="0" fillId="4" borderId="0" xfId="0" applyFill="1" applyAlignment="1">
      <alignment vertical="center" wrapText="1"/>
    </xf>
    <xf numFmtId="176" fontId="2" fillId="4" borderId="1" xfId="0" applyNumberFormat="1" applyFont="1" applyFill="1" applyBorder="1" applyAlignment="1">
      <alignment vertical="center"/>
    </xf>
    <xf numFmtId="177" fontId="0" fillId="4" borderId="1" xfId="0" applyNumberForma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11" fontId="0" fillId="4" borderId="0" xfId="0" applyNumberFormat="1" applyFill="1" applyAlignment="1">
      <alignment vertical="center"/>
    </xf>
    <xf numFmtId="0" fontId="0" fillId="4" borderId="2" xfId="0" applyFill="1" applyBorder="1">
      <alignment vertical="center"/>
    </xf>
    <xf numFmtId="0" fontId="0" fillId="4" borderId="2" xfId="0" applyFill="1" applyBorder="1" applyAlignment="1">
      <alignment horizontal="center" vertical="center"/>
    </xf>
    <xf numFmtId="0" fontId="0" fillId="4" borderId="0" xfId="0" applyFill="1">
      <alignment vertical="center"/>
    </xf>
    <xf numFmtId="176" fontId="2" fillId="4" borderId="2" xfId="0" applyNumberFormat="1" applyFont="1" applyFill="1" applyBorder="1">
      <alignment vertical="center"/>
    </xf>
    <xf numFmtId="0" fontId="0" fillId="4" borderId="0" xfId="0" applyFill="1" applyBorder="1">
      <alignment vertical="center"/>
    </xf>
    <xf numFmtId="11" fontId="0" fillId="4" borderId="0" xfId="0" applyNumberFormat="1" applyFill="1" applyBorder="1">
      <alignment vertical="center"/>
    </xf>
    <xf numFmtId="0" fontId="8" fillId="4" borderId="2" xfId="0" applyFont="1" applyFill="1" applyBorder="1" applyAlignment="1">
      <alignment vertical="center" wrapText="1"/>
    </xf>
    <xf numFmtId="0" fontId="12" fillId="4" borderId="2" xfId="0" applyFont="1" applyFill="1" applyBorder="1">
      <alignment vertical="center"/>
    </xf>
    <xf numFmtId="0" fontId="12" fillId="4" borderId="0" xfId="0" applyFont="1" applyFill="1" applyBorder="1">
      <alignment vertical="center"/>
    </xf>
    <xf numFmtId="0" fontId="2" fillId="4" borderId="0" xfId="0" applyFont="1" applyFill="1" applyBorder="1" applyAlignment="1">
      <alignment vertical="center" wrapText="1"/>
    </xf>
    <xf numFmtId="176" fontId="2" fillId="4" borderId="0" xfId="0" applyNumberFormat="1" applyFont="1" applyFill="1" applyBorder="1">
      <alignment vertical="center"/>
    </xf>
    <xf numFmtId="176" fontId="2" fillId="4" borderId="4" xfId="0" applyNumberFormat="1" applyFont="1" applyFill="1" applyBorder="1">
      <alignment vertical="center"/>
    </xf>
    <xf numFmtId="11" fontId="0" fillId="4" borderId="3" xfId="0" applyNumberFormat="1" applyFill="1" applyBorder="1" applyAlignment="1">
      <alignment horizontal="center" vertical="center"/>
    </xf>
    <xf numFmtId="0" fontId="12" fillId="4" borderId="0" xfId="0" applyFont="1" applyFill="1">
      <alignment vertical="center"/>
    </xf>
    <xf numFmtId="0" fontId="2" fillId="4" borderId="3" xfId="0" applyFont="1" applyFill="1" applyBorder="1">
      <alignment vertical="center"/>
    </xf>
    <xf numFmtId="11" fontId="12" fillId="4" borderId="0" xfId="0" applyNumberFormat="1" applyFont="1" applyFill="1" applyBorder="1">
      <alignment vertical="center"/>
    </xf>
    <xf numFmtId="177" fontId="0" fillId="4" borderId="2" xfId="0" applyNumberFormat="1" applyFill="1" applyBorder="1">
      <alignment vertical="center"/>
    </xf>
    <xf numFmtId="11" fontId="0" fillId="0" borderId="0" xfId="0" applyNumberFormat="1">
      <alignment vertical="center"/>
    </xf>
    <xf numFmtId="0" fontId="0" fillId="4" borderId="1" xfId="0" applyFill="1" applyBorder="1">
      <alignment vertical="center"/>
    </xf>
    <xf numFmtId="0" fontId="2" fillId="4" borderId="0" xfId="0" applyFont="1" applyFill="1" applyBorder="1">
      <alignment vertical="center"/>
    </xf>
    <xf numFmtId="177" fontId="0" fillId="4" borderId="0" xfId="0" applyNumberFormat="1" applyFill="1" applyBorder="1">
      <alignment vertical="center"/>
    </xf>
    <xf numFmtId="177" fontId="2" fillId="4" borderId="4" xfId="0" applyNumberFormat="1" applyFont="1" applyFill="1" applyBorder="1">
      <alignment vertical="center"/>
    </xf>
    <xf numFmtId="177" fontId="2" fillId="4" borderId="2" xfId="0" applyNumberFormat="1" applyFont="1" applyFill="1" applyBorder="1">
      <alignment vertical="center"/>
    </xf>
    <xf numFmtId="11" fontId="0" fillId="0" borderId="0" xfId="0" applyNumberFormat="1" applyFill="1" applyBorder="1">
      <alignment vertical="center"/>
    </xf>
    <xf numFmtId="177" fontId="0" fillId="4" borderId="4" xfId="0" applyNumberFormat="1" applyFill="1" applyBorder="1">
      <alignment vertical="center"/>
    </xf>
    <xf numFmtId="0" fontId="2" fillId="4" borderId="4" xfId="0" applyFont="1" applyFill="1" applyBorder="1" applyAlignment="1">
      <alignment vertical="center" wrapText="1"/>
    </xf>
    <xf numFmtId="0" fontId="17" fillId="0" borderId="0" xfId="0" applyFont="1">
      <alignment vertical="center"/>
    </xf>
    <xf numFmtId="0" fontId="18" fillId="0" borderId="0" xfId="0" applyFont="1" applyAlignment="1">
      <alignment vertical="center" wrapText="1"/>
    </xf>
    <xf numFmtId="11" fontId="18" fillId="0" borderId="0" xfId="0" applyNumberFormat="1" applyFont="1">
      <alignment vertical="center"/>
    </xf>
    <xf numFmtId="0" fontId="18" fillId="4" borderId="0" xfId="0" applyFont="1" applyFill="1">
      <alignment vertical="center"/>
    </xf>
    <xf numFmtId="0" fontId="18" fillId="4" borderId="0" xfId="0" applyFont="1" applyFill="1" applyBorder="1">
      <alignment vertical="center"/>
    </xf>
    <xf numFmtId="0" fontId="0" fillId="4" borderId="1" xfId="0" applyFill="1" applyBorder="1">
      <alignment vertical="center"/>
    </xf>
    <xf numFmtId="0" fontId="12" fillId="0" borderId="0" xfId="0" applyFont="1">
      <alignment vertical="center"/>
    </xf>
    <xf numFmtId="0" fontId="12" fillId="0" borderId="0" xfId="0" applyFont="1" applyAlignment="1">
      <alignment vertical="center" wrapText="1"/>
    </xf>
    <xf numFmtId="11" fontId="12" fillId="0" borderId="0" xfId="0" applyNumberFormat="1" applyFont="1">
      <alignment vertical="center"/>
    </xf>
    <xf numFmtId="0" fontId="8" fillId="4" borderId="0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4" fillId="4" borderId="0" xfId="0" applyFont="1" applyFill="1">
      <alignment vertical="center"/>
    </xf>
    <xf numFmtId="0" fontId="14" fillId="4" borderId="1" xfId="0" applyFont="1" applyFill="1" applyBorder="1">
      <alignment vertical="center"/>
    </xf>
    <xf numFmtId="11" fontId="14" fillId="4" borderId="0" xfId="0" applyNumberFormat="1" applyFont="1" applyFill="1">
      <alignment vertical="center"/>
    </xf>
    <xf numFmtId="0" fontId="6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2" fillId="4" borderId="5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2" fillId="4" borderId="5" xfId="0" applyFont="1" applyFill="1" applyBorder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4" borderId="1" xfId="0" applyFill="1" applyBorder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0" fillId="4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1" fillId="0" borderId="0" xfId="0" applyFont="1" applyAlignment="1">
      <alignment horizontal="left" vertical="center" readingOrder="1"/>
    </xf>
    <xf numFmtId="0" fontId="0" fillId="0" borderId="0" xfId="0" applyAlignment="1">
      <alignment horizontal="left" vertical="center"/>
    </xf>
    <xf numFmtId="0" fontId="5" fillId="4" borderId="1" xfId="0" applyFont="1" applyFill="1" applyBorder="1">
      <alignment vertical="center"/>
    </xf>
    <xf numFmtId="0" fontId="0" fillId="4" borderId="1" xfId="0" applyFill="1" applyBorder="1">
      <alignment vertical="center"/>
    </xf>
    <xf numFmtId="0" fontId="2" fillId="4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2" fillId="4" borderId="5" xfId="0" applyFont="1" applyFill="1" applyBorder="1" applyAlignment="1">
      <alignment horizontal="left" vertical="center"/>
    </xf>
    <xf numFmtId="0" fontId="2" fillId="4" borderId="6" xfId="0" applyFont="1" applyFill="1" applyBorder="1" applyAlignment="1">
      <alignment horizontal="left" vertical="center"/>
    </xf>
    <xf numFmtId="0" fontId="8" fillId="5" borderId="3" xfId="0" applyFont="1" applyFill="1" applyBorder="1">
      <alignment vertical="center"/>
    </xf>
    <xf numFmtId="0" fontId="8" fillId="5" borderId="0" xfId="0" applyFont="1" applyFill="1" applyBorder="1">
      <alignment vertical="center"/>
    </xf>
    <xf numFmtId="0" fontId="8" fillId="5" borderId="1" xfId="0" applyFont="1" applyFill="1" applyBorder="1">
      <alignment vertical="center"/>
    </xf>
    <xf numFmtId="0" fontId="0" fillId="0" borderId="0" xfId="0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05"/>
  <sheetViews>
    <sheetView tabSelected="1" zoomScale="115" zoomScaleNormal="115" workbookViewId="0">
      <pane ySplit="1" topLeftCell="A143" activePane="bottomLeft" state="frozen"/>
      <selection pane="bottomLeft" activeCell="B164" sqref="B164"/>
    </sheetView>
  </sheetViews>
  <sheetFormatPr defaultRowHeight="13.8"/>
  <cols>
    <col min="1" max="1" width="29.77734375" customWidth="1"/>
    <col min="2" max="2" width="26.6640625" style="1" customWidth="1"/>
    <col min="3" max="3" width="6.77734375" customWidth="1"/>
    <col min="4" max="4" width="7.109375" customWidth="1"/>
    <col min="5" max="5" width="6.44140625" customWidth="1"/>
    <col min="6" max="6" width="7.33203125" customWidth="1"/>
    <col min="7" max="8" width="9.44140625" style="5" bestFit="1" customWidth="1"/>
    <col min="9" max="9" width="13.77734375" style="5" customWidth="1"/>
    <col min="10" max="10" width="13.33203125" style="4" customWidth="1"/>
    <col min="11" max="11" width="11.77734375" style="4" customWidth="1"/>
    <col min="12" max="12" width="9" style="4" customWidth="1"/>
    <col min="13" max="13" width="25.77734375" customWidth="1"/>
    <col min="14" max="14" width="16.109375" customWidth="1"/>
    <col min="15" max="15" width="17" customWidth="1"/>
    <col min="16" max="16" width="11.77734375" customWidth="1"/>
    <col min="18" max="18" width="12.109375" bestFit="1" customWidth="1"/>
    <col min="19" max="20" width="11.44140625" bestFit="1" customWidth="1"/>
    <col min="21" max="21" width="9.6640625" bestFit="1" customWidth="1"/>
    <col min="22" max="22" width="147.44140625" style="101" customWidth="1"/>
  </cols>
  <sheetData>
    <row r="1" spans="1:22" s="2" customFormat="1" ht="83.4">
      <c r="A1" s="11" t="s">
        <v>0</v>
      </c>
      <c r="B1" s="11" t="s">
        <v>1</v>
      </c>
      <c r="C1" s="11" t="s">
        <v>123</v>
      </c>
      <c r="D1" s="11" t="s">
        <v>124</v>
      </c>
      <c r="E1" s="11" t="s">
        <v>125</v>
      </c>
      <c r="F1" s="11" t="s">
        <v>126</v>
      </c>
      <c r="G1" s="12" t="s">
        <v>122</v>
      </c>
      <c r="H1" s="12" t="s">
        <v>110</v>
      </c>
      <c r="I1" s="12" t="s">
        <v>111</v>
      </c>
      <c r="J1" s="11" t="s">
        <v>358</v>
      </c>
      <c r="K1" s="11" t="s">
        <v>359</v>
      </c>
      <c r="L1" s="11" t="s">
        <v>360</v>
      </c>
      <c r="M1" s="11" t="s">
        <v>60</v>
      </c>
      <c r="N1" s="11" t="s">
        <v>183</v>
      </c>
      <c r="O1" s="11" t="s">
        <v>379</v>
      </c>
      <c r="P1" s="11" t="s">
        <v>236</v>
      </c>
      <c r="Q1" s="11" t="s">
        <v>61</v>
      </c>
      <c r="R1" s="11" t="s">
        <v>119</v>
      </c>
      <c r="S1" s="11" t="s">
        <v>120</v>
      </c>
      <c r="T1" s="13" t="s">
        <v>121</v>
      </c>
      <c r="U1" s="11" t="s">
        <v>118</v>
      </c>
      <c r="V1" s="90" t="s">
        <v>2</v>
      </c>
    </row>
    <row r="2" spans="1:22" ht="43.5" customHeight="1">
      <c r="A2" s="14" t="s">
        <v>4</v>
      </c>
      <c r="B2" s="15" t="s">
        <v>5</v>
      </c>
      <c r="C2" s="16">
        <v>140</v>
      </c>
      <c r="D2" s="16">
        <v>207</v>
      </c>
      <c r="E2" s="16">
        <v>127</v>
      </c>
      <c r="F2" s="16">
        <v>995</v>
      </c>
      <c r="G2" s="22">
        <v>16.597999999999999</v>
      </c>
      <c r="H2" s="22">
        <v>8.5867000000000004</v>
      </c>
      <c r="I2" s="22">
        <v>8.7446999999999999</v>
      </c>
      <c r="J2" s="14">
        <v>90</v>
      </c>
      <c r="K2" s="9">
        <v>99.161000000000001</v>
      </c>
      <c r="L2" s="14">
        <v>90</v>
      </c>
      <c r="M2" s="17">
        <v>2.2000000000000002</v>
      </c>
      <c r="N2" s="18">
        <v>5.1000000000000004E-4</v>
      </c>
      <c r="O2" s="18">
        <v>1360000000000</v>
      </c>
      <c r="P2" s="23">
        <v>45700000000</v>
      </c>
      <c r="Q2" s="14" t="s">
        <v>64</v>
      </c>
      <c r="R2" s="14">
        <v>120</v>
      </c>
      <c r="S2" s="17">
        <v>130</v>
      </c>
      <c r="T2" s="24">
        <v>3402</v>
      </c>
      <c r="U2" s="17">
        <v>2.3E-2</v>
      </c>
      <c r="V2" s="91" t="s">
        <v>65</v>
      </c>
    </row>
    <row r="3" spans="1:22" ht="46.2" customHeight="1">
      <c r="A3" s="14" t="s">
        <v>4</v>
      </c>
      <c r="B3" s="15" t="s">
        <v>219</v>
      </c>
      <c r="C3" s="16">
        <v>122</v>
      </c>
      <c r="D3" s="16">
        <v>207</v>
      </c>
      <c r="E3" s="16">
        <v>127</v>
      </c>
      <c r="F3" s="16">
        <v>959</v>
      </c>
      <c r="G3" s="22">
        <v>8.4690999999999992</v>
      </c>
      <c r="H3" s="22">
        <v>8.3797999999999995</v>
      </c>
      <c r="I3" s="22">
        <v>16.080690000000001</v>
      </c>
      <c r="J3" s="9">
        <v>90.303899999999999</v>
      </c>
      <c r="K3" s="9">
        <v>98.332899999999995</v>
      </c>
      <c r="L3" s="9">
        <v>90.058300000000003</v>
      </c>
      <c r="M3" s="19">
        <v>2.2000000000000002</v>
      </c>
      <c r="N3" s="18">
        <v>1.07E-4</v>
      </c>
      <c r="O3" s="18">
        <v>107000000000</v>
      </c>
      <c r="P3" s="8">
        <v>74600000000</v>
      </c>
      <c r="Q3" s="14" t="s">
        <v>62</v>
      </c>
      <c r="R3" s="14">
        <v>40</v>
      </c>
      <c r="S3" s="17">
        <v>1250</v>
      </c>
      <c r="T3" s="24">
        <v>848</v>
      </c>
      <c r="U3" s="17">
        <v>1.21</v>
      </c>
      <c r="V3" s="110" t="s">
        <v>66</v>
      </c>
    </row>
    <row r="4" spans="1:22" ht="48" customHeight="1">
      <c r="A4" s="14" t="s">
        <v>4</v>
      </c>
      <c r="B4" s="15" t="s">
        <v>6</v>
      </c>
      <c r="C4" s="16">
        <v>140</v>
      </c>
      <c r="D4" s="16">
        <v>207</v>
      </c>
      <c r="E4" s="16">
        <v>127</v>
      </c>
      <c r="F4" s="16">
        <v>995</v>
      </c>
      <c r="G4" s="22">
        <v>8.7042000000000002</v>
      </c>
      <c r="H4" s="22">
        <v>8.7041000000000004</v>
      </c>
      <c r="I4" s="22">
        <v>16.803000000000001</v>
      </c>
      <c r="J4" s="9">
        <v>82.974000000000004</v>
      </c>
      <c r="K4" s="9">
        <v>81.911000000000001</v>
      </c>
      <c r="L4" s="9">
        <v>89.372</v>
      </c>
      <c r="M4" s="17">
        <v>2.21</v>
      </c>
      <c r="N4" s="18">
        <v>3.79E-3</v>
      </c>
      <c r="O4" s="18">
        <v>480000000000</v>
      </c>
      <c r="P4" s="8">
        <v>45700000000</v>
      </c>
      <c r="Q4" s="14" t="s">
        <v>62</v>
      </c>
      <c r="R4" s="14">
        <v>40</v>
      </c>
      <c r="S4" s="17">
        <v>1250</v>
      </c>
      <c r="T4" s="24">
        <v>1724.5</v>
      </c>
      <c r="U4" s="17">
        <v>0.46</v>
      </c>
      <c r="V4" s="111"/>
    </row>
    <row r="5" spans="1:22">
      <c r="A5" s="14" t="s">
        <v>7</v>
      </c>
      <c r="B5" s="9" t="s">
        <v>8</v>
      </c>
      <c r="C5" s="16">
        <v>123</v>
      </c>
      <c r="D5" s="16">
        <v>207</v>
      </c>
      <c r="E5" s="16">
        <v>35.5</v>
      </c>
      <c r="F5" s="16">
        <v>472</v>
      </c>
      <c r="G5" s="25">
        <v>8.7977000000000007</v>
      </c>
      <c r="H5" s="25">
        <v>8.8460999999999999</v>
      </c>
      <c r="I5" s="25">
        <v>9.5142000000000007</v>
      </c>
      <c r="J5" s="14">
        <v>105.05</v>
      </c>
      <c r="K5" s="14">
        <v>96.33</v>
      </c>
      <c r="L5" s="14">
        <v>115.70699999999999</v>
      </c>
      <c r="M5" s="17">
        <v>3.17</v>
      </c>
      <c r="N5" s="8">
        <v>2.7399999999999998E-3</v>
      </c>
      <c r="O5" s="23">
        <v>100000000000</v>
      </c>
      <c r="P5" s="23">
        <v>45700000000</v>
      </c>
      <c r="Q5" s="14" t="s">
        <v>62</v>
      </c>
      <c r="R5" s="14">
        <v>40</v>
      </c>
      <c r="S5" s="17">
        <v>310</v>
      </c>
      <c r="T5" s="24">
        <v>791.8</v>
      </c>
      <c r="U5" s="17">
        <v>1.54</v>
      </c>
      <c r="V5" s="110" t="s">
        <v>67</v>
      </c>
    </row>
    <row r="6" spans="1:22">
      <c r="A6" s="14" t="s">
        <v>7</v>
      </c>
      <c r="B6" s="9" t="s">
        <v>9</v>
      </c>
      <c r="C6" s="16">
        <v>123</v>
      </c>
      <c r="D6" s="16">
        <v>207</v>
      </c>
      <c r="E6" s="16">
        <v>80</v>
      </c>
      <c r="F6" s="16">
        <v>650</v>
      </c>
      <c r="G6" s="25">
        <v>16.3428</v>
      </c>
      <c r="H6" s="25">
        <v>9.0609999999999999</v>
      </c>
      <c r="I6" s="25">
        <v>18.538599999999999</v>
      </c>
      <c r="J6" s="17">
        <v>90</v>
      </c>
      <c r="K6" s="14">
        <v>101</v>
      </c>
      <c r="L6" s="14">
        <v>90</v>
      </c>
      <c r="M6" s="17">
        <v>2.71</v>
      </c>
      <c r="N6" s="8">
        <v>2.3800000000000002E-3</v>
      </c>
      <c r="O6" s="23">
        <v>80000000000</v>
      </c>
      <c r="P6" s="23">
        <v>45700000000</v>
      </c>
      <c r="Q6" s="14" t="s">
        <v>62</v>
      </c>
      <c r="R6" s="14">
        <v>40</v>
      </c>
      <c r="S6" s="17">
        <v>310</v>
      </c>
      <c r="T6" s="24">
        <v>348.6</v>
      </c>
      <c r="U6" s="17">
        <v>3.04</v>
      </c>
      <c r="V6" s="111"/>
    </row>
    <row r="7" spans="1:22" ht="50.7" customHeight="1">
      <c r="A7" s="14" t="s">
        <v>7</v>
      </c>
      <c r="B7" s="9" t="s">
        <v>10</v>
      </c>
      <c r="C7" s="16">
        <v>123</v>
      </c>
      <c r="D7" s="16">
        <v>207</v>
      </c>
      <c r="E7" s="16">
        <v>127</v>
      </c>
      <c r="F7" s="16">
        <v>838</v>
      </c>
      <c r="G7" s="25">
        <v>17.0883</v>
      </c>
      <c r="H7" s="25">
        <v>9.4534000000000002</v>
      </c>
      <c r="I7" s="25">
        <v>19.622599999999998</v>
      </c>
      <c r="J7" s="9">
        <v>90</v>
      </c>
      <c r="K7" s="14">
        <v>101.866</v>
      </c>
      <c r="L7" s="14">
        <v>90</v>
      </c>
      <c r="M7" s="17">
        <v>1.98</v>
      </c>
      <c r="N7" s="8">
        <v>2.6099999999999999E-3</v>
      </c>
      <c r="O7" s="23">
        <v>70000000000</v>
      </c>
      <c r="P7" s="23">
        <v>45700000000</v>
      </c>
      <c r="Q7" s="14" t="s">
        <v>62</v>
      </c>
      <c r="R7" s="14">
        <v>40</v>
      </c>
      <c r="S7" s="17">
        <v>310</v>
      </c>
      <c r="T7" s="24">
        <v>114.9</v>
      </c>
      <c r="U7" s="17">
        <v>3.4830000000000001</v>
      </c>
      <c r="V7" s="111"/>
    </row>
    <row r="8" spans="1:22">
      <c r="A8" s="14" t="s">
        <v>11</v>
      </c>
      <c r="B8" s="9" t="s">
        <v>312</v>
      </c>
      <c r="C8" s="16">
        <v>32</v>
      </c>
      <c r="D8" s="16">
        <v>207</v>
      </c>
      <c r="E8" s="16">
        <v>127</v>
      </c>
      <c r="F8" s="16">
        <v>620</v>
      </c>
      <c r="G8" s="7">
        <v>8.8725000000000005</v>
      </c>
      <c r="H8" s="7">
        <v>8.8725000000000005</v>
      </c>
      <c r="I8" s="7">
        <v>12.547000000000001</v>
      </c>
      <c r="J8" s="9">
        <v>90</v>
      </c>
      <c r="K8" s="9">
        <v>90</v>
      </c>
      <c r="L8" s="9">
        <v>90</v>
      </c>
      <c r="M8" s="19">
        <v>1.55</v>
      </c>
      <c r="N8" s="8">
        <v>1.4599999999999999E-3</v>
      </c>
      <c r="O8" s="23">
        <v>130000000</v>
      </c>
      <c r="P8" s="23">
        <v>11000000000</v>
      </c>
      <c r="Q8" s="14" t="s">
        <v>62</v>
      </c>
      <c r="R8" s="14">
        <v>50</v>
      </c>
      <c r="S8" s="17">
        <v>100</v>
      </c>
      <c r="T8" s="29">
        <v>5200000</v>
      </c>
      <c r="U8" s="17">
        <v>0.1</v>
      </c>
      <c r="V8" s="91" t="s">
        <v>71</v>
      </c>
    </row>
    <row r="9" spans="1:22" ht="19.5" customHeight="1">
      <c r="A9" s="14" t="s">
        <v>18</v>
      </c>
      <c r="B9" s="9" t="s">
        <v>313</v>
      </c>
      <c r="C9" s="16">
        <v>133</v>
      </c>
      <c r="D9" s="16">
        <v>207</v>
      </c>
      <c r="E9" s="16">
        <v>80</v>
      </c>
      <c r="F9" s="16">
        <v>580</v>
      </c>
      <c r="G9" s="7">
        <v>8.2070000000000007</v>
      </c>
      <c r="H9" s="7">
        <v>8.2550000000000008</v>
      </c>
      <c r="I9" s="30">
        <v>11.759</v>
      </c>
      <c r="J9" s="27">
        <v>90</v>
      </c>
      <c r="K9" s="27">
        <v>90</v>
      </c>
      <c r="L9" s="27">
        <v>90</v>
      </c>
      <c r="M9" s="19">
        <v>2.2999999999999998</v>
      </c>
      <c r="N9" s="8">
        <v>1.8E-3</v>
      </c>
      <c r="O9" s="18">
        <v>10000000000</v>
      </c>
      <c r="P9" s="23">
        <v>11000000000</v>
      </c>
      <c r="Q9" s="14" t="s">
        <v>64</v>
      </c>
      <c r="R9" s="14">
        <v>50</v>
      </c>
      <c r="S9" s="28">
        <v>100</v>
      </c>
      <c r="T9" s="24">
        <v>8000</v>
      </c>
      <c r="U9" s="8">
        <v>2.0000000000000002E-5</v>
      </c>
      <c r="V9" s="91" t="s">
        <v>113</v>
      </c>
    </row>
    <row r="10" spans="1:22">
      <c r="A10" s="14" t="s">
        <v>18</v>
      </c>
      <c r="B10" s="9" t="s">
        <v>314</v>
      </c>
      <c r="C10" s="16">
        <v>45</v>
      </c>
      <c r="D10" s="16">
        <v>207</v>
      </c>
      <c r="E10" s="16">
        <v>80</v>
      </c>
      <c r="F10" s="16">
        <v>421</v>
      </c>
      <c r="G10" s="22">
        <v>5.9450000000000003</v>
      </c>
      <c r="H10" s="22">
        <v>5.9450000000000003</v>
      </c>
      <c r="I10" s="22">
        <v>5.9450000000000003</v>
      </c>
      <c r="J10" s="9">
        <v>90</v>
      </c>
      <c r="K10" s="9">
        <v>90</v>
      </c>
      <c r="L10" s="9">
        <v>90</v>
      </c>
      <c r="M10" s="17">
        <v>2.2999999999999998</v>
      </c>
      <c r="N10" s="23">
        <v>1.81E-3</v>
      </c>
      <c r="O10" s="18">
        <v>30700000</v>
      </c>
      <c r="P10" s="23">
        <v>4700000000</v>
      </c>
      <c r="Q10" s="14" t="s">
        <v>64</v>
      </c>
      <c r="R10" s="14">
        <v>120</v>
      </c>
      <c r="S10" s="28">
        <v>100</v>
      </c>
      <c r="T10" s="31">
        <v>5200000</v>
      </c>
      <c r="U10" s="17">
        <v>91</v>
      </c>
      <c r="V10" s="92" t="s">
        <v>73</v>
      </c>
    </row>
    <row r="11" spans="1:22">
      <c r="A11" s="14" t="s">
        <v>7</v>
      </c>
      <c r="B11" s="9" t="s">
        <v>315</v>
      </c>
      <c r="C11" s="16">
        <v>85.5</v>
      </c>
      <c r="D11" s="16">
        <v>209</v>
      </c>
      <c r="E11" s="16">
        <v>127</v>
      </c>
      <c r="F11" s="16">
        <v>1817.5</v>
      </c>
      <c r="G11" s="10">
        <v>8.39</v>
      </c>
      <c r="H11" s="10">
        <v>8.39</v>
      </c>
      <c r="I11" s="10">
        <v>21.2</v>
      </c>
      <c r="J11" s="27">
        <v>90</v>
      </c>
      <c r="K11" s="27">
        <v>90</v>
      </c>
      <c r="L11" s="27">
        <v>120</v>
      </c>
      <c r="M11" s="17">
        <v>1.89</v>
      </c>
      <c r="N11" s="8">
        <v>2.5100000000000001E-3</v>
      </c>
      <c r="O11" s="23">
        <v>107000000000</v>
      </c>
      <c r="P11" s="8">
        <v>663000000000</v>
      </c>
      <c r="Q11" s="14" t="s">
        <v>76</v>
      </c>
      <c r="R11" s="14">
        <v>50</v>
      </c>
      <c r="S11" s="17">
        <v>300</v>
      </c>
      <c r="T11" s="32">
        <v>159.69999999999999</v>
      </c>
      <c r="U11" s="14">
        <v>8.3199999999999993E-3</v>
      </c>
      <c r="V11" s="91" t="s">
        <v>78</v>
      </c>
    </row>
    <row r="12" spans="1:22">
      <c r="A12" s="14" t="s">
        <v>28</v>
      </c>
      <c r="B12" s="9" t="s">
        <v>114</v>
      </c>
      <c r="C12" s="16">
        <v>32</v>
      </c>
      <c r="D12" s="16">
        <v>209</v>
      </c>
      <c r="E12" s="16">
        <v>127</v>
      </c>
      <c r="F12" s="16">
        <v>1657</v>
      </c>
      <c r="G12" s="22">
        <v>8.44</v>
      </c>
      <c r="H12" s="22">
        <v>8.44</v>
      </c>
      <c r="I12" s="22">
        <v>21.63</v>
      </c>
      <c r="J12" s="17">
        <v>90</v>
      </c>
      <c r="K12" s="17">
        <v>90</v>
      </c>
      <c r="L12" s="17">
        <v>120</v>
      </c>
      <c r="M12" s="17">
        <v>1.98</v>
      </c>
      <c r="N12" s="23">
        <v>2.8700000000000002E-3</v>
      </c>
      <c r="O12" s="18">
        <v>47000000000</v>
      </c>
      <c r="P12" s="23">
        <v>75000000000</v>
      </c>
      <c r="Q12" s="14" t="s">
        <v>76</v>
      </c>
      <c r="R12" s="14">
        <v>40</v>
      </c>
      <c r="S12" s="17">
        <v>2860</v>
      </c>
      <c r="T12" s="24">
        <v>872</v>
      </c>
      <c r="U12" s="17">
        <v>31</v>
      </c>
      <c r="V12" s="91" t="s">
        <v>79</v>
      </c>
    </row>
    <row r="13" spans="1:22" ht="58.2" customHeight="1">
      <c r="A13" s="14" t="s">
        <v>7</v>
      </c>
      <c r="B13" s="33" t="s">
        <v>30</v>
      </c>
      <c r="C13" s="16">
        <v>90</v>
      </c>
      <c r="D13" s="16">
        <v>207</v>
      </c>
      <c r="E13" s="16">
        <v>127</v>
      </c>
      <c r="F13" s="16">
        <v>805</v>
      </c>
      <c r="G13" s="7">
        <v>8.4893999999999998</v>
      </c>
      <c r="H13" s="7">
        <v>8.8000000000000007</v>
      </c>
      <c r="I13" s="7">
        <v>11.0854</v>
      </c>
      <c r="J13" s="9">
        <v>76.69</v>
      </c>
      <c r="K13" s="9">
        <v>70.228999999999999</v>
      </c>
      <c r="L13" s="9">
        <v>89.242000000000004</v>
      </c>
      <c r="M13" s="19">
        <v>2.37</v>
      </c>
      <c r="N13" s="8">
        <v>4.4299999999999998E-4</v>
      </c>
      <c r="O13" s="19">
        <v>200000000000</v>
      </c>
      <c r="P13" s="8">
        <v>3100000000</v>
      </c>
      <c r="Q13" s="14" t="s">
        <v>76</v>
      </c>
      <c r="R13" s="14">
        <v>40</v>
      </c>
      <c r="S13" s="17">
        <v>310</v>
      </c>
      <c r="T13" s="24">
        <v>242</v>
      </c>
      <c r="U13" s="17">
        <v>0.43</v>
      </c>
      <c r="V13" s="91" t="s">
        <v>80</v>
      </c>
    </row>
    <row r="14" spans="1:22">
      <c r="A14" s="14" t="s">
        <v>39</v>
      </c>
      <c r="B14" s="1" t="s">
        <v>224</v>
      </c>
      <c r="C14" s="53">
        <v>104</v>
      </c>
      <c r="D14" s="16">
        <v>209</v>
      </c>
      <c r="E14" s="16">
        <v>127</v>
      </c>
      <c r="F14">
        <f>C14+D14+E14*5</f>
        <v>948</v>
      </c>
      <c r="G14" s="70">
        <v>8.5823999999999998</v>
      </c>
      <c r="H14" s="70">
        <v>14.7005</v>
      </c>
      <c r="I14" s="66">
        <v>14.7005</v>
      </c>
      <c r="J14" s="9">
        <v>90</v>
      </c>
      <c r="K14" s="9">
        <v>90</v>
      </c>
      <c r="L14" s="9">
        <v>90</v>
      </c>
      <c r="M14" s="59">
        <v>1.95</v>
      </c>
      <c r="N14" s="67">
        <v>7.4900000000000001E-3</v>
      </c>
      <c r="O14" s="40">
        <v>100000000000</v>
      </c>
      <c r="P14" s="67">
        <v>1310000000</v>
      </c>
      <c r="Q14" s="52" t="s">
        <v>147</v>
      </c>
      <c r="R14" s="69">
        <v>40</v>
      </c>
      <c r="S14" s="54">
        <v>53</v>
      </c>
      <c r="T14" s="55">
        <v>8120</v>
      </c>
      <c r="U14" s="54">
        <v>4.4999999999999997E-3</v>
      </c>
      <c r="V14" s="103" t="s">
        <v>304</v>
      </c>
    </row>
    <row r="15" spans="1:22">
      <c r="A15" s="69" t="s">
        <v>228</v>
      </c>
      <c r="B15" s="1" t="s">
        <v>243</v>
      </c>
      <c r="C15" s="53">
        <v>104</v>
      </c>
      <c r="D15" s="16">
        <v>209</v>
      </c>
      <c r="E15" s="16">
        <v>127</v>
      </c>
      <c r="F15">
        <v>1560</v>
      </c>
      <c r="G15" s="70">
        <v>11.884600000000001</v>
      </c>
      <c r="H15" s="70">
        <v>11.884600000000001</v>
      </c>
      <c r="I15" s="70">
        <v>23.940999999999999</v>
      </c>
      <c r="J15" s="9">
        <v>90</v>
      </c>
      <c r="K15" s="9">
        <v>90</v>
      </c>
      <c r="L15" s="9">
        <v>90</v>
      </c>
      <c r="M15" s="59">
        <v>1.86</v>
      </c>
      <c r="N15" s="67">
        <v>1.1999999999999999E-3</v>
      </c>
      <c r="O15" s="67">
        <v>50000000000</v>
      </c>
      <c r="P15" s="84">
        <v>10000000000</v>
      </c>
      <c r="Q15" s="54" t="s">
        <v>133</v>
      </c>
      <c r="R15" s="69">
        <v>70</v>
      </c>
      <c r="S15" s="54"/>
      <c r="T15" s="55">
        <v>20570</v>
      </c>
      <c r="U15" s="54">
        <v>9.7999999999999997E-4</v>
      </c>
      <c r="V15" s="101" t="s">
        <v>305</v>
      </c>
    </row>
    <row r="16" spans="1:22">
      <c r="A16" t="s">
        <v>225</v>
      </c>
      <c r="B16" s="1" t="s">
        <v>332</v>
      </c>
      <c r="C16" s="53">
        <v>66</v>
      </c>
      <c r="D16" s="54">
        <v>158.5</v>
      </c>
      <c r="E16" s="16">
        <v>127</v>
      </c>
      <c r="F16">
        <f>C16*4+D16*2+E16*8</f>
        <v>1597</v>
      </c>
      <c r="G16" s="70">
        <v>8.8214000000000006</v>
      </c>
      <c r="H16">
        <v>9.1445000000000007</v>
      </c>
      <c r="I16" s="1">
        <v>13.6531</v>
      </c>
      <c r="J16" s="38">
        <v>89.766999999999996</v>
      </c>
      <c r="K16" s="38">
        <v>79.204999999999998</v>
      </c>
      <c r="L16" s="1">
        <v>79.204999999999998</v>
      </c>
      <c r="M16" s="59">
        <v>2</v>
      </c>
      <c r="N16" s="67">
        <v>2.2799999999999999E-3</v>
      </c>
      <c r="O16" s="67">
        <v>30400000000</v>
      </c>
      <c r="P16" s="67">
        <v>37800000000</v>
      </c>
      <c r="Q16" s="52" t="s">
        <v>147</v>
      </c>
      <c r="R16" s="69">
        <v>80</v>
      </c>
      <c r="S16" s="54">
        <v>33.299999999999997</v>
      </c>
      <c r="T16" s="55">
        <v>5.38</v>
      </c>
      <c r="U16" s="63">
        <v>0.04</v>
      </c>
      <c r="V16" s="101" t="s">
        <v>306</v>
      </c>
    </row>
    <row r="17" spans="1:22">
      <c r="A17" t="s">
        <v>226</v>
      </c>
      <c r="B17" s="1" t="s">
        <v>333</v>
      </c>
      <c r="C17" s="9">
        <v>133</v>
      </c>
      <c r="D17" s="16">
        <v>207</v>
      </c>
      <c r="E17" s="53">
        <v>69</v>
      </c>
      <c r="F17" s="1">
        <f>C17*2+D17+E17*4</f>
        <v>749</v>
      </c>
      <c r="G17" s="70">
        <v>17.523</v>
      </c>
      <c r="H17" s="70">
        <v>5.9417999999999997</v>
      </c>
      <c r="I17" s="1">
        <v>5.9987000000000004</v>
      </c>
      <c r="J17" s="9">
        <v>90</v>
      </c>
      <c r="K17" s="9">
        <v>90</v>
      </c>
      <c r="L17" s="9">
        <v>90</v>
      </c>
      <c r="M17" s="59">
        <v>2.5099999999999998</v>
      </c>
      <c r="N17" s="67">
        <v>1.2899999999999999E-4</v>
      </c>
      <c r="O17" s="67">
        <v>20000000000</v>
      </c>
      <c r="P17" s="40">
        <v>100000000000</v>
      </c>
      <c r="Q17" s="54" t="s">
        <v>133</v>
      </c>
      <c r="R17" s="69">
        <v>35.700000000000003</v>
      </c>
      <c r="S17" s="54">
        <v>210</v>
      </c>
      <c r="T17" s="55">
        <v>216.3</v>
      </c>
      <c r="U17" s="54">
        <v>4.24E-2</v>
      </c>
      <c r="V17" s="101" t="s">
        <v>307</v>
      </c>
    </row>
    <row r="18" spans="1:22">
      <c r="A18" s="69" t="s">
        <v>250</v>
      </c>
      <c r="B18" s="1" t="s">
        <v>339</v>
      </c>
      <c r="C18">
        <v>1678</v>
      </c>
      <c r="D18">
        <v>207</v>
      </c>
      <c r="E18">
        <v>80</v>
      </c>
      <c r="F18" s="1">
        <v>2205</v>
      </c>
      <c r="G18">
        <v>8.4581</v>
      </c>
      <c r="H18">
        <v>8.3703000000000003</v>
      </c>
      <c r="I18" s="1">
        <v>26.907499999999999</v>
      </c>
      <c r="J18">
        <v>90</v>
      </c>
      <c r="K18" s="59">
        <v>97.137</v>
      </c>
      <c r="L18">
        <v>90</v>
      </c>
      <c r="M18" s="59">
        <v>0.96</v>
      </c>
      <c r="N18" s="67">
        <v>1.5799999999999999E-4</v>
      </c>
      <c r="O18" s="67">
        <v>885000000000</v>
      </c>
      <c r="P18" s="67">
        <v>7200000000</v>
      </c>
      <c r="Q18" s="54" t="s">
        <v>133</v>
      </c>
      <c r="R18" s="69">
        <v>120</v>
      </c>
      <c r="S18" s="54">
        <v>800</v>
      </c>
      <c r="T18" s="67">
        <v>114000</v>
      </c>
      <c r="U18" s="54">
        <v>5.6000000000000001E-2</v>
      </c>
      <c r="V18" s="103" t="s">
        <v>249</v>
      </c>
    </row>
    <row r="19" spans="1:22" s="76" customFormat="1" ht="17.399999999999999">
      <c r="A19" s="76" t="s">
        <v>132</v>
      </c>
      <c r="B19" s="77" t="s">
        <v>221</v>
      </c>
      <c r="C19" s="76">
        <v>140</v>
      </c>
      <c r="D19" s="76">
        <v>207</v>
      </c>
      <c r="E19" s="76">
        <v>127</v>
      </c>
      <c r="F19" s="76">
        <v>995</v>
      </c>
      <c r="G19" s="76">
        <v>34.643099999999997</v>
      </c>
      <c r="H19" s="76">
        <v>6.1150000000000002</v>
      </c>
      <c r="I19" s="76">
        <v>12.292199999999999</v>
      </c>
      <c r="J19" s="77">
        <v>90</v>
      </c>
      <c r="K19" s="76">
        <v>103.93</v>
      </c>
      <c r="L19" s="77">
        <v>90</v>
      </c>
      <c r="M19" s="76">
        <v>2.29</v>
      </c>
      <c r="N19" s="78">
        <v>1.8000000000000001E-4</v>
      </c>
      <c r="O19" s="78">
        <v>790000000000</v>
      </c>
      <c r="P19" s="78">
        <v>64000000000</v>
      </c>
      <c r="Q19" s="79" t="s">
        <v>147</v>
      </c>
      <c r="R19" s="78">
        <v>40</v>
      </c>
      <c r="S19" s="78">
        <v>2000</v>
      </c>
      <c r="T19" s="78">
        <v>1033.7</v>
      </c>
      <c r="U19" s="80">
        <v>1.4</v>
      </c>
      <c r="V19" s="104"/>
    </row>
    <row r="20" spans="1:22">
      <c r="A20" s="14" t="s">
        <v>28</v>
      </c>
      <c r="B20" s="9" t="s">
        <v>187</v>
      </c>
      <c r="C20" s="9">
        <v>133</v>
      </c>
      <c r="D20" s="16">
        <v>209</v>
      </c>
      <c r="E20" s="16">
        <v>127</v>
      </c>
      <c r="F20" s="9">
        <v>1960</v>
      </c>
      <c r="G20" s="7">
        <v>8.3902999999999999</v>
      </c>
      <c r="H20" s="7">
        <v>8.3902999999999999</v>
      </c>
      <c r="I20" s="7">
        <v>21.202300000000001</v>
      </c>
      <c r="J20" s="9">
        <v>90</v>
      </c>
      <c r="K20" s="9">
        <v>90</v>
      </c>
      <c r="L20" s="9">
        <v>120</v>
      </c>
      <c r="M20" s="14">
        <v>1.9</v>
      </c>
      <c r="N20" s="8">
        <v>1.3500000000000001E-3</v>
      </c>
      <c r="O20" s="8">
        <v>3880000000000</v>
      </c>
      <c r="P20" s="8">
        <v>2560000000</v>
      </c>
      <c r="Q20" s="17" t="s">
        <v>64</v>
      </c>
      <c r="R20" s="14">
        <v>35</v>
      </c>
      <c r="S20" s="17">
        <v>20</v>
      </c>
      <c r="T20" s="29">
        <v>4382</v>
      </c>
      <c r="U20" s="17">
        <v>7.9299999999999995E-3</v>
      </c>
      <c r="V20" s="91" t="s">
        <v>188</v>
      </c>
    </row>
    <row r="21" spans="1:22">
      <c r="A21" s="14" t="s">
        <v>18</v>
      </c>
      <c r="B21" s="9" t="s">
        <v>37</v>
      </c>
      <c r="C21" s="16">
        <v>32</v>
      </c>
      <c r="D21" s="16">
        <v>207</v>
      </c>
      <c r="E21" s="16">
        <v>80</v>
      </c>
      <c r="F21" s="16">
        <v>479</v>
      </c>
      <c r="G21" s="7">
        <v>6.0385299999999997</v>
      </c>
      <c r="H21" s="7">
        <v>6.0596800000000002</v>
      </c>
      <c r="I21" s="7">
        <v>6.1281800000000004</v>
      </c>
      <c r="J21" s="9">
        <v>90</v>
      </c>
      <c r="K21" s="9">
        <v>90</v>
      </c>
      <c r="L21" s="9">
        <v>90</v>
      </c>
      <c r="M21" s="17">
        <v>2.15</v>
      </c>
      <c r="N21" s="8">
        <v>2.5899999999999999E-2</v>
      </c>
      <c r="O21" s="8">
        <v>125000000</v>
      </c>
      <c r="P21" s="8">
        <v>2300000000</v>
      </c>
      <c r="Q21" s="14" t="s">
        <v>64</v>
      </c>
      <c r="R21" s="14">
        <v>120</v>
      </c>
      <c r="S21" s="28">
        <v>6.1</v>
      </c>
      <c r="T21" s="24">
        <v>3928.3</v>
      </c>
      <c r="U21" s="17">
        <v>8.8000000000000007</v>
      </c>
      <c r="V21" s="91" t="s">
        <v>84</v>
      </c>
    </row>
    <row r="22" spans="1:22" ht="27.6">
      <c r="A22" s="9" t="s">
        <v>198</v>
      </c>
      <c r="B22" s="9" t="s">
        <v>322</v>
      </c>
      <c r="C22" s="16">
        <v>133</v>
      </c>
      <c r="D22" s="16">
        <v>158.5</v>
      </c>
      <c r="E22" s="16">
        <v>80</v>
      </c>
      <c r="F22" s="16">
        <v>1063</v>
      </c>
      <c r="G22" s="7">
        <v>11.2562</v>
      </c>
      <c r="H22" s="7">
        <v>11.2562</v>
      </c>
      <c r="I22" s="7">
        <v>11.2562</v>
      </c>
      <c r="J22" s="9">
        <v>90</v>
      </c>
      <c r="K22" s="9">
        <v>90</v>
      </c>
      <c r="L22" s="9">
        <v>90</v>
      </c>
      <c r="M22" s="17">
        <v>2.12</v>
      </c>
      <c r="N22" s="23">
        <v>8.9999999999999998E-4</v>
      </c>
      <c r="O22" s="18">
        <v>160000000000</v>
      </c>
      <c r="P22" s="8">
        <v>1740000000</v>
      </c>
      <c r="Q22" s="17" t="s">
        <v>64</v>
      </c>
      <c r="R22" s="14">
        <v>50</v>
      </c>
      <c r="S22" s="17">
        <v>25</v>
      </c>
      <c r="T22" s="24">
        <v>105</v>
      </c>
      <c r="U22" s="17">
        <v>5.9700000000000003E-2</v>
      </c>
      <c r="V22" s="91" t="s">
        <v>91</v>
      </c>
    </row>
    <row r="23" spans="1:22">
      <c r="A23" s="14" t="s">
        <v>7</v>
      </c>
      <c r="B23" s="9" t="s">
        <v>115</v>
      </c>
      <c r="C23" s="9">
        <v>18</v>
      </c>
      <c r="D23" s="9">
        <v>209</v>
      </c>
      <c r="E23" s="9">
        <v>127</v>
      </c>
      <c r="F23" s="9">
        <v>1615</v>
      </c>
      <c r="G23" s="7">
        <v>14.609</v>
      </c>
      <c r="H23" s="7">
        <v>8.1426999999999996</v>
      </c>
      <c r="I23" s="7" t="s">
        <v>116</v>
      </c>
      <c r="J23" s="17">
        <v>90</v>
      </c>
      <c r="K23" s="17">
        <v>90.917000000000002</v>
      </c>
      <c r="L23" s="17">
        <v>90</v>
      </c>
      <c r="M23" s="17">
        <v>2.0499999999999998</v>
      </c>
      <c r="N23" s="8">
        <v>1.0999999999999999E-2</v>
      </c>
      <c r="O23" s="8">
        <v>50000000000</v>
      </c>
      <c r="P23" s="8">
        <v>4840000000</v>
      </c>
      <c r="Q23" s="14" t="s">
        <v>76</v>
      </c>
      <c r="R23" s="14">
        <v>50</v>
      </c>
      <c r="S23" s="8">
        <v>2.2000000000000002</v>
      </c>
      <c r="T23" s="8">
        <v>8000</v>
      </c>
      <c r="U23" s="17">
        <v>5.5E-2</v>
      </c>
      <c r="V23" s="91" t="s">
        <v>95</v>
      </c>
    </row>
    <row r="24" spans="1:22" ht="16.8">
      <c r="A24" s="14" t="s">
        <v>179</v>
      </c>
      <c r="B24" s="9" t="s">
        <v>174</v>
      </c>
      <c r="C24" s="14">
        <v>133</v>
      </c>
      <c r="D24" s="14">
        <v>207</v>
      </c>
      <c r="E24" s="14">
        <v>127</v>
      </c>
      <c r="F24" s="14">
        <v>1501</v>
      </c>
      <c r="G24" s="22">
        <v>14.601900000000001</v>
      </c>
      <c r="H24" s="22">
        <v>14.601900000000001</v>
      </c>
      <c r="I24" s="22">
        <v>18.367799999999999</v>
      </c>
      <c r="J24" s="14">
        <v>90</v>
      </c>
      <c r="K24" s="14">
        <v>90</v>
      </c>
      <c r="L24" s="14">
        <v>120</v>
      </c>
      <c r="M24" s="14">
        <v>3.46</v>
      </c>
      <c r="N24" s="36">
        <v>3.6999999999999999E-4</v>
      </c>
      <c r="O24" s="23">
        <v>10000000000</v>
      </c>
      <c r="P24" s="23">
        <v>1000000000000000</v>
      </c>
      <c r="Q24" s="14" t="s">
        <v>64</v>
      </c>
      <c r="R24" s="14">
        <v>30</v>
      </c>
      <c r="S24" s="14">
        <v>1190</v>
      </c>
      <c r="T24" s="14">
        <v>256.2</v>
      </c>
      <c r="U24" s="28">
        <v>0.187</v>
      </c>
      <c r="V24" s="91" t="s">
        <v>172</v>
      </c>
    </row>
    <row r="25" spans="1:22" ht="37.5" customHeight="1">
      <c r="A25" s="14" t="s">
        <v>193</v>
      </c>
      <c r="B25" s="9" t="s">
        <v>58</v>
      </c>
      <c r="C25" s="14">
        <v>110</v>
      </c>
      <c r="D25" s="16">
        <v>209</v>
      </c>
      <c r="E25" s="16">
        <v>127</v>
      </c>
      <c r="F25" s="16">
        <v>954</v>
      </c>
      <c r="G25" s="7">
        <v>20.5305</v>
      </c>
      <c r="H25" s="7">
        <v>18.034500000000001</v>
      </c>
      <c r="I25" s="7">
        <v>20.654900000000001</v>
      </c>
      <c r="J25" s="9">
        <v>90</v>
      </c>
      <c r="K25" s="9">
        <v>116.8</v>
      </c>
      <c r="L25" s="9">
        <v>90</v>
      </c>
      <c r="M25" s="17">
        <v>1.74</v>
      </c>
      <c r="N25" s="40">
        <v>1.0000000000000001E-5</v>
      </c>
      <c r="O25" s="8">
        <v>330000000000</v>
      </c>
      <c r="P25" s="8">
        <v>3530000000</v>
      </c>
      <c r="Q25" s="17" t="s">
        <v>96</v>
      </c>
      <c r="R25" s="17">
        <v>100</v>
      </c>
      <c r="S25" s="17">
        <v>600</v>
      </c>
      <c r="T25" s="24">
        <v>7.7</v>
      </c>
      <c r="U25" s="17">
        <v>0.1</v>
      </c>
      <c r="V25" s="98" t="s">
        <v>194</v>
      </c>
    </row>
    <row r="26" spans="1:22" ht="40.200000000000003" customHeight="1">
      <c r="A26" s="14" t="s">
        <v>39</v>
      </c>
      <c r="B26" s="9" t="s">
        <v>323</v>
      </c>
      <c r="C26" s="14">
        <v>121</v>
      </c>
      <c r="D26" s="16">
        <v>209</v>
      </c>
      <c r="E26" s="16">
        <v>127</v>
      </c>
      <c r="F26" s="16">
        <v>838</v>
      </c>
      <c r="G26" s="7">
        <v>16.171800000000001</v>
      </c>
      <c r="H26" s="7">
        <v>7.6997</v>
      </c>
      <c r="I26" s="7">
        <v>25.100300000000001</v>
      </c>
      <c r="J26" s="9">
        <v>90</v>
      </c>
      <c r="K26" s="9">
        <v>90</v>
      </c>
      <c r="L26" s="9">
        <v>90</v>
      </c>
      <c r="M26" s="17">
        <v>1.77</v>
      </c>
      <c r="N26" s="8">
        <v>1.95E-4</v>
      </c>
      <c r="O26" s="8">
        <v>420000000000</v>
      </c>
      <c r="P26" s="23">
        <v>10000000000</v>
      </c>
      <c r="Q26" s="17" t="s">
        <v>96</v>
      </c>
      <c r="R26" s="17">
        <v>40</v>
      </c>
      <c r="S26" s="17">
        <v>29.5</v>
      </c>
      <c r="T26" s="24">
        <v>1181.8</v>
      </c>
      <c r="U26" s="17">
        <v>7.6999999999999999E-2</v>
      </c>
      <c r="V26" s="91" t="s">
        <v>105</v>
      </c>
    </row>
    <row r="27" spans="1:22" ht="44.7" customHeight="1">
      <c r="A27" s="14" t="s">
        <v>39</v>
      </c>
      <c r="B27" s="9" t="s">
        <v>324</v>
      </c>
      <c r="C27" s="14">
        <v>102</v>
      </c>
      <c r="D27" s="16">
        <v>209</v>
      </c>
      <c r="E27" s="16">
        <v>80</v>
      </c>
      <c r="F27" s="16">
        <v>711</v>
      </c>
      <c r="G27" s="7">
        <v>7.9625000000000004</v>
      </c>
      <c r="H27" s="7">
        <v>14.1058</v>
      </c>
      <c r="I27" s="7">
        <v>14.0002</v>
      </c>
      <c r="J27" s="9">
        <v>90</v>
      </c>
      <c r="K27" s="9">
        <v>90</v>
      </c>
      <c r="L27" s="9">
        <v>90</v>
      </c>
      <c r="M27" s="17">
        <v>2.71</v>
      </c>
      <c r="N27" s="8">
        <v>1.26E-2</v>
      </c>
      <c r="O27" s="8">
        <v>23100000000</v>
      </c>
      <c r="P27" s="8">
        <v>20000000000</v>
      </c>
      <c r="Q27" s="17" t="s">
        <v>96</v>
      </c>
      <c r="R27" s="17">
        <v>50</v>
      </c>
      <c r="S27" s="17">
        <v>55</v>
      </c>
      <c r="T27" s="24">
        <v>3.8</v>
      </c>
      <c r="U27" s="28">
        <v>20</v>
      </c>
      <c r="V27" s="91" t="s">
        <v>106</v>
      </c>
    </row>
    <row r="28" spans="1:22" ht="52.2" customHeight="1">
      <c r="A28" s="14" t="s">
        <v>39</v>
      </c>
      <c r="B28" s="9" t="s">
        <v>325</v>
      </c>
      <c r="C28" s="14">
        <v>90</v>
      </c>
      <c r="D28" s="16">
        <v>209</v>
      </c>
      <c r="E28" s="16">
        <v>127</v>
      </c>
      <c r="F28" s="16">
        <v>934</v>
      </c>
      <c r="G28" s="7">
        <v>18.309899999999999</v>
      </c>
      <c r="H28" s="7">
        <v>10.914199999999999</v>
      </c>
      <c r="I28" s="7">
        <v>8.4634999999999998</v>
      </c>
      <c r="J28" s="9">
        <v>90</v>
      </c>
      <c r="K28" s="9">
        <v>90</v>
      </c>
      <c r="L28" s="9">
        <v>90</v>
      </c>
      <c r="M28" s="17">
        <v>1.83</v>
      </c>
      <c r="N28" s="23">
        <v>8.3199999999999995E-4</v>
      </c>
      <c r="O28" s="8">
        <v>21000000000</v>
      </c>
      <c r="P28" s="8">
        <v>360000000000</v>
      </c>
      <c r="Q28" s="17" t="s">
        <v>96</v>
      </c>
      <c r="R28" s="17">
        <v>70</v>
      </c>
      <c r="S28" s="17">
        <v>5</v>
      </c>
      <c r="T28" s="24">
        <v>1</v>
      </c>
      <c r="U28" s="28">
        <v>10</v>
      </c>
      <c r="V28" s="91" t="s">
        <v>107</v>
      </c>
    </row>
    <row r="29" spans="1:22" ht="42.6" customHeight="1">
      <c r="A29" s="14" t="s">
        <v>39</v>
      </c>
      <c r="B29" s="9" t="s">
        <v>59</v>
      </c>
      <c r="C29" s="14">
        <v>45</v>
      </c>
      <c r="D29" s="16">
        <v>209</v>
      </c>
      <c r="E29" s="16">
        <v>127</v>
      </c>
      <c r="F29" s="16">
        <v>1696</v>
      </c>
      <c r="G29" s="7">
        <v>8.6920000000000002</v>
      </c>
      <c r="H29" s="7">
        <v>15.055</v>
      </c>
      <c r="I29" s="7">
        <v>21.967500000000001</v>
      </c>
      <c r="J29" s="9">
        <v>90</v>
      </c>
      <c r="K29" s="9">
        <v>90</v>
      </c>
      <c r="L29" s="9">
        <v>90</v>
      </c>
      <c r="M29" s="17">
        <v>2.08</v>
      </c>
      <c r="N29" s="8">
        <v>2.4000000000000001E-5</v>
      </c>
      <c r="O29" s="8">
        <v>78000000000</v>
      </c>
      <c r="P29" s="8">
        <v>9480000000</v>
      </c>
      <c r="Q29" s="17" t="s">
        <v>96</v>
      </c>
      <c r="R29" s="17">
        <v>45</v>
      </c>
      <c r="S29" s="17">
        <v>555</v>
      </c>
      <c r="T29" s="24">
        <v>598.1</v>
      </c>
      <c r="U29" s="17">
        <v>0.2</v>
      </c>
      <c r="V29" s="91" t="s">
        <v>108</v>
      </c>
    </row>
    <row r="30" spans="1:22" ht="27.6">
      <c r="A30" s="37" t="s">
        <v>132</v>
      </c>
      <c r="B30" s="45" t="s">
        <v>327</v>
      </c>
      <c r="C30" s="37">
        <v>122</v>
      </c>
      <c r="D30" s="53">
        <v>209</v>
      </c>
      <c r="E30" s="53">
        <v>127</v>
      </c>
      <c r="F30" s="53">
        <v>1337</v>
      </c>
      <c r="G30" s="7">
        <v>25.578600000000002</v>
      </c>
      <c r="H30" s="7" t="s">
        <v>134</v>
      </c>
      <c r="I30" s="7" t="s">
        <v>135</v>
      </c>
      <c r="J30" s="17">
        <v>90</v>
      </c>
      <c r="K30" s="17">
        <v>104.43300000000001</v>
      </c>
      <c r="L30" s="17">
        <v>90</v>
      </c>
      <c r="M30" s="50">
        <v>2.1</v>
      </c>
      <c r="N30" s="39">
        <v>8.2999999999999998E-5</v>
      </c>
      <c r="O30" s="39">
        <v>200000000000</v>
      </c>
      <c r="P30" s="39">
        <v>1000000000000000</v>
      </c>
      <c r="Q30" s="50" t="s">
        <v>133</v>
      </c>
      <c r="R30" s="50">
        <v>120</v>
      </c>
      <c r="S30" s="50">
        <v>100</v>
      </c>
      <c r="T30" s="51">
        <v>52.6</v>
      </c>
      <c r="U30" s="52">
        <v>30</v>
      </c>
      <c r="V30" s="99" t="s">
        <v>273</v>
      </c>
    </row>
    <row r="31" spans="1:22" ht="27.6">
      <c r="A31" s="59" t="s">
        <v>199</v>
      </c>
      <c r="B31" s="1" t="s">
        <v>329</v>
      </c>
      <c r="C31" s="54">
        <v>140</v>
      </c>
      <c r="D31" s="54">
        <v>158.5</v>
      </c>
      <c r="E31" s="54">
        <v>80</v>
      </c>
      <c r="F31" s="54">
        <v>1517</v>
      </c>
      <c r="G31" s="66">
        <v>32.627000000000002</v>
      </c>
      <c r="H31" s="66">
        <v>8.1280000000000001</v>
      </c>
      <c r="I31" s="66">
        <v>8.3550000000000004</v>
      </c>
      <c r="J31">
        <v>90</v>
      </c>
      <c r="K31">
        <v>96.140299999999996</v>
      </c>
      <c r="L31">
        <v>90</v>
      </c>
      <c r="M31" s="57">
        <v>2.39</v>
      </c>
      <c r="N31" s="67">
        <v>2.9E-5</v>
      </c>
      <c r="O31" s="67">
        <v>179000000000</v>
      </c>
      <c r="P31" s="40">
        <v>10000000000</v>
      </c>
      <c r="Q31" s="52" t="s">
        <v>96</v>
      </c>
      <c r="R31" s="52">
        <v>30</v>
      </c>
      <c r="S31" s="52">
        <v>333</v>
      </c>
      <c r="T31" s="39">
        <v>27</v>
      </c>
      <c r="U31" s="63">
        <v>2.6</v>
      </c>
      <c r="V31" s="101" t="s">
        <v>291</v>
      </c>
    </row>
    <row r="32" spans="1:22" ht="27.6">
      <c r="A32" s="69" t="s">
        <v>202</v>
      </c>
      <c r="B32" s="1" t="s">
        <v>203</v>
      </c>
      <c r="C32" s="54">
        <v>74</v>
      </c>
      <c r="D32" s="16">
        <v>209</v>
      </c>
      <c r="E32" s="16">
        <v>127</v>
      </c>
      <c r="F32">
        <f>C32*3+D32*2+E32*9</f>
        <v>1783</v>
      </c>
      <c r="G32">
        <v>10.7753</v>
      </c>
      <c r="H32" s="66">
        <v>14.0648</v>
      </c>
      <c r="I32" s="66">
        <v>21.093800000000002</v>
      </c>
      <c r="J32" s="9">
        <v>90</v>
      </c>
      <c r="K32" s="9">
        <v>90</v>
      </c>
      <c r="L32" s="9">
        <v>90</v>
      </c>
      <c r="M32" s="38">
        <v>1.95</v>
      </c>
      <c r="N32" s="67">
        <v>7.9399999999999991E-3</v>
      </c>
      <c r="O32" s="67">
        <v>37800000000</v>
      </c>
      <c r="P32" s="67">
        <v>24000000000</v>
      </c>
      <c r="Q32" s="52" t="s">
        <v>96</v>
      </c>
      <c r="R32" s="52">
        <v>70</v>
      </c>
      <c r="S32" s="52">
        <v>100</v>
      </c>
      <c r="T32" s="39">
        <v>5791</v>
      </c>
      <c r="U32" s="52">
        <v>2.5999999999999999E-3</v>
      </c>
      <c r="V32" s="102" t="s">
        <v>292</v>
      </c>
    </row>
    <row r="33" spans="1:22">
      <c r="A33" s="69" t="s">
        <v>205</v>
      </c>
      <c r="B33" s="1" t="s">
        <v>330</v>
      </c>
      <c r="C33" s="54">
        <v>122</v>
      </c>
      <c r="D33" s="52">
        <v>207</v>
      </c>
      <c r="E33" s="16">
        <v>127</v>
      </c>
      <c r="F33">
        <f>C33+D33+E33*4</f>
        <v>837</v>
      </c>
      <c r="G33">
        <v>6.3712</v>
      </c>
      <c r="H33" s="66">
        <v>12.5945</v>
      </c>
      <c r="I33" s="66">
        <v>20.544799999999999</v>
      </c>
      <c r="J33" s="1">
        <v>90</v>
      </c>
      <c r="K33">
        <v>96.185900000000004</v>
      </c>
      <c r="L33" s="1">
        <v>90</v>
      </c>
      <c r="M33" s="38">
        <v>1.9</v>
      </c>
      <c r="N33" s="67">
        <v>3.57E-4</v>
      </c>
      <c r="O33" s="67">
        <v>286000000000</v>
      </c>
      <c r="P33" s="40">
        <v>10000000000</v>
      </c>
      <c r="Q33" s="52" t="s">
        <v>96</v>
      </c>
      <c r="R33" s="52">
        <v>120</v>
      </c>
      <c r="S33" s="52">
        <v>200</v>
      </c>
      <c r="T33" s="39">
        <v>5627</v>
      </c>
      <c r="U33" s="63">
        <v>0.02</v>
      </c>
      <c r="V33" s="107" t="s">
        <v>293</v>
      </c>
    </row>
    <row r="34" spans="1:22">
      <c r="A34" s="69" t="s">
        <v>205</v>
      </c>
      <c r="B34" s="1" t="s">
        <v>204</v>
      </c>
      <c r="C34" s="54">
        <v>122</v>
      </c>
      <c r="D34" s="52">
        <v>207</v>
      </c>
      <c r="E34" s="16">
        <v>127</v>
      </c>
      <c r="F34">
        <f>C34*2+D34+E34*4</f>
        <v>959</v>
      </c>
      <c r="G34" s="70">
        <v>9.1875999999999998</v>
      </c>
      <c r="H34" s="70">
        <v>9.0623000000000005</v>
      </c>
      <c r="I34" s="66">
        <v>26.854700000000001</v>
      </c>
      <c r="J34" s="1">
        <v>90</v>
      </c>
      <c r="K34">
        <v>89.994</v>
      </c>
      <c r="L34" s="1">
        <v>90</v>
      </c>
      <c r="M34" s="38">
        <v>2.14</v>
      </c>
      <c r="N34" s="67">
        <v>6.7600000000000003E-5</v>
      </c>
      <c r="O34" s="67">
        <v>52500000000</v>
      </c>
      <c r="P34" s="40">
        <v>10000000000</v>
      </c>
      <c r="Q34" s="52" t="s">
        <v>208</v>
      </c>
      <c r="R34" s="52">
        <v>120</v>
      </c>
      <c r="S34" s="52">
        <v>200</v>
      </c>
      <c r="T34" s="39">
        <v>3627</v>
      </c>
      <c r="U34" s="52">
        <v>6.1100000000000002E-2</v>
      </c>
      <c r="V34" s="107"/>
    </row>
    <row r="35" spans="1:22">
      <c r="A35" s="69" t="s">
        <v>205</v>
      </c>
      <c r="B35" s="1" t="s">
        <v>220</v>
      </c>
      <c r="C35" s="53">
        <v>129</v>
      </c>
      <c r="D35" s="52">
        <v>207</v>
      </c>
      <c r="E35" s="16">
        <v>127</v>
      </c>
      <c r="F35">
        <f>C35+D35+E35*4</f>
        <v>844</v>
      </c>
      <c r="G35" s="70">
        <v>12.696999999999999</v>
      </c>
      <c r="H35" s="74">
        <v>6.407</v>
      </c>
      <c r="I35">
        <v>20.216000000000001</v>
      </c>
      <c r="J35" s="38">
        <v>90</v>
      </c>
      <c r="K35" s="38">
        <v>97.742999999999995</v>
      </c>
      <c r="L35" s="9">
        <v>90</v>
      </c>
      <c r="M35" s="75">
        <v>2.1</v>
      </c>
      <c r="N35" s="73">
        <v>78.099999999999994</v>
      </c>
      <c r="O35" s="67">
        <v>500000000000</v>
      </c>
      <c r="P35" s="67">
        <v>26600000000</v>
      </c>
      <c r="Q35" s="52" t="s">
        <v>147</v>
      </c>
      <c r="R35" s="69">
        <v>40</v>
      </c>
      <c r="S35" s="54">
        <v>1250</v>
      </c>
      <c r="T35" s="55">
        <v>4869</v>
      </c>
      <c r="U35" s="54">
        <v>9.5399999999999999E-2</v>
      </c>
      <c r="V35" s="101" t="s">
        <v>302</v>
      </c>
    </row>
    <row r="36" spans="1:22">
      <c r="A36" t="s">
        <v>228</v>
      </c>
      <c r="B36" s="1" t="s">
        <v>334</v>
      </c>
      <c r="C36">
        <v>136</v>
      </c>
      <c r="D36" s="16">
        <v>209</v>
      </c>
      <c r="E36" s="16">
        <v>127</v>
      </c>
      <c r="F36" s="1">
        <v>1115.9000000000001</v>
      </c>
      <c r="G36">
        <v>13.9612</v>
      </c>
      <c r="H36">
        <v>29.576000000000001</v>
      </c>
      <c r="I36" s="1">
        <v>14.3292</v>
      </c>
      <c r="J36" s="9">
        <v>90</v>
      </c>
      <c r="K36" s="9">
        <v>91.613</v>
      </c>
      <c r="L36" s="9">
        <v>90</v>
      </c>
      <c r="M36" s="59">
        <v>2.17</v>
      </c>
      <c r="N36" s="67">
        <v>5.5999999999999999E-5</v>
      </c>
      <c r="O36" s="67">
        <v>29600000000</v>
      </c>
      <c r="P36" s="40">
        <v>10000000000</v>
      </c>
      <c r="Q36" s="54" t="s">
        <v>133</v>
      </c>
      <c r="R36" s="69">
        <v>50</v>
      </c>
      <c r="S36" s="54">
        <v>10</v>
      </c>
      <c r="T36" s="55">
        <v>150</v>
      </c>
      <c r="U36" s="54">
        <v>0.316</v>
      </c>
      <c r="V36" s="101" t="s">
        <v>238</v>
      </c>
    </row>
    <row r="37" spans="1:22">
      <c r="A37" s="69" t="s">
        <v>137</v>
      </c>
      <c r="B37" s="1" t="s">
        <v>227</v>
      </c>
      <c r="C37" s="16">
        <v>45</v>
      </c>
      <c r="D37" s="52">
        <v>207</v>
      </c>
      <c r="E37" s="16">
        <v>127</v>
      </c>
      <c r="F37">
        <f>C37+D37+E37*3</f>
        <v>633</v>
      </c>
      <c r="G37" s="70">
        <v>6.3009000000000004</v>
      </c>
      <c r="H37" s="70">
        <v>6.3009000000000004</v>
      </c>
      <c r="I37" s="1">
        <v>6.3009000000000004</v>
      </c>
      <c r="J37" s="9">
        <v>90</v>
      </c>
      <c r="K37" s="9">
        <v>90</v>
      </c>
      <c r="L37" s="9">
        <v>90</v>
      </c>
      <c r="M37" s="59">
        <v>1.48</v>
      </c>
      <c r="N37" s="67">
        <v>1.4E-2</v>
      </c>
      <c r="O37" s="67">
        <v>5520000000</v>
      </c>
      <c r="P37" s="67">
        <v>10800000000</v>
      </c>
      <c r="Q37" s="54" t="s">
        <v>133</v>
      </c>
      <c r="R37" s="69">
        <v>70</v>
      </c>
      <c r="S37" s="54">
        <v>5</v>
      </c>
      <c r="T37" s="55">
        <v>166687</v>
      </c>
      <c r="U37" s="54">
        <v>1.1000000000000001E-3</v>
      </c>
      <c r="V37" s="101" t="s">
        <v>308</v>
      </c>
    </row>
    <row r="38" spans="1:22">
      <c r="A38" s="14" t="s">
        <v>18</v>
      </c>
      <c r="B38" s="33" t="s">
        <v>27</v>
      </c>
      <c r="C38" s="16">
        <v>32</v>
      </c>
      <c r="D38" s="16">
        <v>207</v>
      </c>
      <c r="E38" s="16">
        <v>127</v>
      </c>
      <c r="F38" s="16">
        <v>620</v>
      </c>
      <c r="G38" s="7">
        <v>8.8725000000000005</v>
      </c>
      <c r="H38" s="7">
        <v>8.8725000000000005</v>
      </c>
      <c r="I38" s="7">
        <v>12.547000000000001</v>
      </c>
      <c r="J38" s="9">
        <v>90</v>
      </c>
      <c r="K38" s="9">
        <v>90</v>
      </c>
      <c r="L38" s="9">
        <v>90</v>
      </c>
      <c r="M38" s="17">
        <v>1.56</v>
      </c>
      <c r="N38" s="8">
        <v>3.5E-4</v>
      </c>
      <c r="O38" s="23">
        <v>1300000000</v>
      </c>
      <c r="P38" s="23">
        <v>5650000000</v>
      </c>
      <c r="Q38" s="14" t="s">
        <v>64</v>
      </c>
      <c r="R38" s="14">
        <v>50</v>
      </c>
      <c r="S38" s="17">
        <v>0</v>
      </c>
      <c r="T38" s="34">
        <v>6700</v>
      </c>
      <c r="U38" s="14">
        <v>1.04E-2</v>
      </c>
      <c r="V38" s="93" t="s">
        <v>195</v>
      </c>
    </row>
    <row r="39" spans="1:22">
      <c r="A39" s="14" t="s">
        <v>112</v>
      </c>
      <c r="B39" s="9" t="s">
        <v>14</v>
      </c>
      <c r="C39" s="16">
        <v>32</v>
      </c>
      <c r="D39" s="16">
        <v>207</v>
      </c>
      <c r="E39" s="16">
        <v>127</v>
      </c>
      <c r="F39" s="16">
        <v>620</v>
      </c>
      <c r="G39" s="7">
        <v>8.8725000000000005</v>
      </c>
      <c r="H39" s="7">
        <v>8.8725000000000005</v>
      </c>
      <c r="I39" s="7">
        <v>12.547000000000001</v>
      </c>
      <c r="J39" s="9">
        <v>90</v>
      </c>
      <c r="K39" s="9">
        <v>90</v>
      </c>
      <c r="L39" s="9">
        <v>90</v>
      </c>
      <c r="M39" s="17">
        <v>1.52</v>
      </c>
      <c r="N39" s="8">
        <v>5.3E-3</v>
      </c>
      <c r="O39" s="18">
        <v>28200000</v>
      </c>
      <c r="P39" s="8">
        <v>1880000000</v>
      </c>
      <c r="Q39" s="14" t="s">
        <v>64</v>
      </c>
      <c r="R39" s="14">
        <v>40</v>
      </c>
      <c r="S39" s="17">
        <v>4.2</v>
      </c>
      <c r="T39" s="29">
        <v>3670</v>
      </c>
      <c r="U39" s="17">
        <v>80.599999999999994</v>
      </c>
      <c r="V39" s="96" t="s">
        <v>81</v>
      </c>
    </row>
    <row r="40" spans="1:22">
      <c r="A40" s="14" t="s">
        <v>342</v>
      </c>
      <c r="B40" s="33" t="s">
        <v>128</v>
      </c>
      <c r="C40" s="9">
        <v>133</v>
      </c>
      <c r="D40" s="16">
        <v>209</v>
      </c>
      <c r="E40" s="16">
        <v>127</v>
      </c>
      <c r="F40" s="9">
        <v>723</v>
      </c>
      <c r="G40" s="7">
        <v>10.5</v>
      </c>
      <c r="H40" s="7">
        <v>4.8</v>
      </c>
      <c r="I40" s="7">
        <v>17.850000000000001</v>
      </c>
      <c r="J40" s="9">
        <v>90</v>
      </c>
      <c r="K40" s="9">
        <v>90</v>
      </c>
      <c r="L40" s="9">
        <v>90</v>
      </c>
      <c r="M40" s="17">
        <v>1.73</v>
      </c>
      <c r="N40" s="8">
        <v>3.63E-3</v>
      </c>
      <c r="O40" s="8">
        <v>7400000000</v>
      </c>
      <c r="P40" s="36">
        <v>10000000000</v>
      </c>
      <c r="Q40" s="14" t="s">
        <v>76</v>
      </c>
      <c r="R40" s="14">
        <v>50</v>
      </c>
      <c r="S40" s="17">
        <v>4.17</v>
      </c>
      <c r="T40" s="24">
        <v>2370</v>
      </c>
      <c r="U40" s="17">
        <v>0.129</v>
      </c>
      <c r="V40" s="91" t="s">
        <v>86</v>
      </c>
    </row>
    <row r="41" spans="1:22" ht="15.75" customHeight="1">
      <c r="A41" s="14" t="s">
        <v>28</v>
      </c>
      <c r="B41" s="9" t="s">
        <v>187</v>
      </c>
      <c r="C41" s="9">
        <v>133</v>
      </c>
      <c r="D41" s="16">
        <v>209</v>
      </c>
      <c r="E41" s="16">
        <v>127</v>
      </c>
      <c r="F41" s="9">
        <v>1960</v>
      </c>
      <c r="G41" s="7">
        <v>8.3902999999999999</v>
      </c>
      <c r="H41" s="7">
        <v>8.3902999999999999</v>
      </c>
      <c r="I41" s="7">
        <v>21.202300000000001</v>
      </c>
      <c r="J41" s="9">
        <v>90</v>
      </c>
      <c r="K41" s="9">
        <v>90</v>
      </c>
      <c r="L41" s="9">
        <v>120</v>
      </c>
      <c r="M41" s="14">
        <v>1.96</v>
      </c>
      <c r="N41" s="8">
        <v>7.9699999999999997E-4</v>
      </c>
      <c r="O41" s="8">
        <v>27900000000</v>
      </c>
      <c r="P41" s="8">
        <v>14000000000</v>
      </c>
      <c r="Q41" s="17" t="s">
        <v>64</v>
      </c>
      <c r="R41" s="14">
        <v>40</v>
      </c>
      <c r="S41" s="17">
        <v>50</v>
      </c>
      <c r="T41" s="24">
        <v>1652.3</v>
      </c>
      <c r="U41" s="17">
        <v>0.13</v>
      </c>
      <c r="V41" s="91" t="s">
        <v>89</v>
      </c>
    </row>
    <row r="42" spans="1:22" ht="15.75" customHeight="1">
      <c r="A42" s="14" t="s">
        <v>228</v>
      </c>
      <c r="B42" s="9" t="s">
        <v>231</v>
      </c>
      <c r="C42" s="9">
        <v>133</v>
      </c>
      <c r="D42" s="16">
        <v>209</v>
      </c>
      <c r="E42" s="16">
        <v>127</v>
      </c>
      <c r="F42" s="9">
        <v>1960</v>
      </c>
      <c r="G42" s="7">
        <v>8.3902999999999999</v>
      </c>
      <c r="H42" s="7">
        <v>8.3902999999999999</v>
      </c>
      <c r="I42" s="7">
        <v>21.202300000000001</v>
      </c>
      <c r="J42" s="9">
        <v>90</v>
      </c>
      <c r="K42" s="9">
        <v>90</v>
      </c>
      <c r="L42" s="9">
        <v>120</v>
      </c>
      <c r="M42" s="14">
        <v>1.8</v>
      </c>
      <c r="N42" s="8">
        <v>5.53E-4</v>
      </c>
      <c r="O42" s="8">
        <v>4270000000000</v>
      </c>
      <c r="P42" s="8">
        <v>1020000000</v>
      </c>
      <c r="Q42" s="81" t="s">
        <v>64</v>
      </c>
      <c r="R42" s="14">
        <v>40</v>
      </c>
      <c r="S42" s="81">
        <v>50</v>
      </c>
      <c r="T42" s="24">
        <v>49155.8</v>
      </c>
      <c r="U42" s="81">
        <v>1.2700000000000001E-3</v>
      </c>
      <c r="V42" s="112" t="s">
        <v>232</v>
      </c>
    </row>
    <row r="43" spans="1:22" ht="15.75" customHeight="1">
      <c r="A43" s="14" t="s">
        <v>228</v>
      </c>
      <c r="B43" s="9" t="s">
        <v>231</v>
      </c>
      <c r="C43" s="9">
        <v>133</v>
      </c>
      <c r="D43" s="16">
        <v>209</v>
      </c>
      <c r="E43" s="16">
        <v>127</v>
      </c>
      <c r="F43" s="9">
        <v>1960</v>
      </c>
      <c r="G43" s="7">
        <v>8.3902999999999999</v>
      </c>
      <c r="H43" s="7">
        <v>8.3902999999999999</v>
      </c>
      <c r="I43" s="7">
        <v>21.202300000000001</v>
      </c>
      <c r="J43" s="9">
        <v>90</v>
      </c>
      <c r="K43" s="9">
        <v>90</v>
      </c>
      <c r="L43" s="9">
        <v>120</v>
      </c>
      <c r="M43" s="14">
        <v>1.8</v>
      </c>
      <c r="N43" s="8">
        <v>6.0800000000000003E-3</v>
      </c>
      <c r="O43" s="8">
        <v>4270000000000</v>
      </c>
      <c r="P43" s="8">
        <v>1020000000</v>
      </c>
      <c r="Q43" s="81" t="s">
        <v>230</v>
      </c>
      <c r="R43" s="14">
        <v>40</v>
      </c>
      <c r="S43" s="81">
        <v>40</v>
      </c>
      <c r="T43" s="24">
        <v>59464.4</v>
      </c>
      <c r="U43" s="81">
        <v>1.35E-2</v>
      </c>
      <c r="V43" s="113"/>
    </row>
    <row r="44" spans="1:22">
      <c r="A44" s="14" t="s">
        <v>28</v>
      </c>
      <c r="B44" s="9" t="s">
        <v>187</v>
      </c>
      <c r="C44" s="9">
        <v>133</v>
      </c>
      <c r="D44" s="16">
        <v>209</v>
      </c>
      <c r="E44" s="16">
        <v>127</v>
      </c>
      <c r="F44" s="9">
        <v>1960</v>
      </c>
      <c r="G44" s="7">
        <v>8.3902999999999999</v>
      </c>
      <c r="H44" s="7">
        <v>8.3902999999999999</v>
      </c>
      <c r="I44" s="7">
        <v>21.202300000000001</v>
      </c>
      <c r="J44" s="9">
        <v>90</v>
      </c>
      <c r="K44" s="9">
        <v>90</v>
      </c>
      <c r="L44" s="9">
        <v>120</v>
      </c>
      <c r="M44" s="14">
        <v>1.89</v>
      </c>
      <c r="N44" s="8">
        <v>1.83E-3</v>
      </c>
      <c r="O44" s="8">
        <v>1120000000</v>
      </c>
      <c r="P44" s="36">
        <v>10000000000</v>
      </c>
      <c r="Q44" s="17" t="s">
        <v>64</v>
      </c>
      <c r="R44" s="14">
        <v>45</v>
      </c>
      <c r="S44" s="17">
        <v>120</v>
      </c>
      <c r="T44" s="24">
        <v>964</v>
      </c>
      <c r="U44" s="17">
        <v>4.4600000000000001E-2</v>
      </c>
      <c r="V44" s="95" t="s">
        <v>189</v>
      </c>
    </row>
    <row r="45" spans="1:22">
      <c r="A45" s="14" t="s">
        <v>18</v>
      </c>
      <c r="B45" s="9" t="s">
        <v>19</v>
      </c>
      <c r="C45" s="9">
        <v>133</v>
      </c>
      <c r="D45" s="16">
        <v>207</v>
      </c>
      <c r="E45" s="16">
        <v>80</v>
      </c>
      <c r="F45" s="16">
        <v>580</v>
      </c>
      <c r="G45" s="7">
        <v>8.2070000000000007</v>
      </c>
      <c r="H45" s="7">
        <v>8.2550000000000008</v>
      </c>
      <c r="I45" s="30">
        <v>11.759</v>
      </c>
      <c r="J45" s="9">
        <v>90</v>
      </c>
      <c r="K45" s="9">
        <v>90</v>
      </c>
      <c r="L45" s="9">
        <v>90</v>
      </c>
      <c r="M45" s="19">
        <v>2.2999999999999998</v>
      </c>
      <c r="N45" s="8">
        <v>5.3</v>
      </c>
      <c r="O45" s="23">
        <v>7400000000</v>
      </c>
      <c r="P45" s="18">
        <v>22000000000</v>
      </c>
      <c r="Q45" s="17" t="s">
        <v>64</v>
      </c>
      <c r="R45" s="14">
        <v>60</v>
      </c>
      <c r="S45" s="19">
        <v>5</v>
      </c>
      <c r="T45" s="24">
        <v>4806</v>
      </c>
      <c r="U45" s="28">
        <v>0.7</v>
      </c>
      <c r="V45" s="91" t="s">
        <v>90</v>
      </c>
    </row>
    <row r="46" spans="1:22">
      <c r="A46" s="14" t="s">
        <v>18</v>
      </c>
      <c r="B46" s="9" t="s">
        <v>52</v>
      </c>
      <c r="C46" s="9">
        <v>133</v>
      </c>
      <c r="D46" s="16">
        <v>207</v>
      </c>
      <c r="E46" s="16">
        <v>80</v>
      </c>
      <c r="F46" s="16">
        <v>580</v>
      </c>
      <c r="G46" s="7">
        <v>8.2070000000000007</v>
      </c>
      <c r="H46" s="7">
        <v>8.2550000000000008</v>
      </c>
      <c r="I46" s="30">
        <v>11.759</v>
      </c>
      <c r="J46" s="9">
        <v>90</v>
      </c>
      <c r="K46" s="9">
        <v>90</v>
      </c>
      <c r="L46" s="9">
        <v>90</v>
      </c>
      <c r="M46" s="14">
        <v>2.2210000000000001</v>
      </c>
      <c r="N46" s="8">
        <v>7.5000000000000002E-4</v>
      </c>
      <c r="O46" s="8">
        <v>350000000</v>
      </c>
      <c r="P46" s="40">
        <v>10000000000</v>
      </c>
      <c r="Q46" s="68" t="s">
        <v>96</v>
      </c>
      <c r="R46" s="14">
        <v>50</v>
      </c>
      <c r="S46" s="68">
        <v>5</v>
      </c>
      <c r="T46" s="39">
        <v>30000</v>
      </c>
      <c r="U46" s="28">
        <v>0.12</v>
      </c>
      <c r="V46" s="101" t="s">
        <v>295</v>
      </c>
    </row>
    <row r="47" spans="1:22">
      <c r="A47" s="14" t="s">
        <v>18</v>
      </c>
      <c r="B47" s="9" t="s">
        <v>253</v>
      </c>
      <c r="C47" s="9">
        <v>133</v>
      </c>
      <c r="D47" s="16">
        <v>207</v>
      </c>
      <c r="E47" s="16">
        <v>80</v>
      </c>
      <c r="F47" s="16">
        <v>580</v>
      </c>
      <c r="G47" s="7">
        <v>8.2070000000000007</v>
      </c>
      <c r="H47" s="7">
        <v>8.2550000000000008</v>
      </c>
      <c r="I47" s="30">
        <v>11.759</v>
      </c>
      <c r="J47" s="9">
        <v>90</v>
      </c>
      <c r="K47" s="9">
        <v>90</v>
      </c>
      <c r="L47" s="9">
        <v>90</v>
      </c>
      <c r="M47" s="19">
        <v>2.2210000000000001</v>
      </c>
      <c r="N47" s="36">
        <v>8.9999999999999998E-4</v>
      </c>
      <c r="O47" s="36">
        <v>1000000000</v>
      </c>
      <c r="P47" s="89">
        <v>10000000000000</v>
      </c>
      <c r="Q47" s="81" t="s">
        <v>96</v>
      </c>
      <c r="R47" s="14">
        <v>58.61</v>
      </c>
      <c r="S47" s="81">
        <v>435</v>
      </c>
      <c r="T47" s="39">
        <v>10283</v>
      </c>
      <c r="U47" s="88">
        <v>2.1999999999999999E-2</v>
      </c>
      <c r="V47" s="101" t="s">
        <v>296</v>
      </c>
    </row>
    <row r="48" spans="1:22">
      <c r="A48" s="14" t="s">
        <v>18</v>
      </c>
      <c r="B48" s="9" t="s">
        <v>52</v>
      </c>
      <c r="C48" s="9">
        <v>133</v>
      </c>
      <c r="D48" s="16">
        <v>207</v>
      </c>
      <c r="E48" s="16">
        <v>80</v>
      </c>
      <c r="F48" s="16">
        <v>580</v>
      </c>
      <c r="G48" s="7">
        <v>8.2070000000000007</v>
      </c>
      <c r="H48" s="7">
        <v>8.2550000000000008</v>
      </c>
      <c r="I48" s="30">
        <v>11.759</v>
      </c>
      <c r="J48" s="9">
        <v>90</v>
      </c>
      <c r="K48" s="9">
        <v>90</v>
      </c>
      <c r="L48" s="9">
        <v>90</v>
      </c>
      <c r="M48" s="85">
        <v>2.2000000000000002</v>
      </c>
      <c r="N48" s="67">
        <v>5.0000000000000001E-3</v>
      </c>
      <c r="O48" s="40">
        <v>350000000</v>
      </c>
      <c r="P48" s="40">
        <v>10000000000</v>
      </c>
      <c r="Q48" s="54" t="s">
        <v>133</v>
      </c>
      <c r="R48" s="69">
        <v>120</v>
      </c>
      <c r="S48" s="54">
        <v>266.60000000000002</v>
      </c>
      <c r="T48" s="55">
        <v>34449</v>
      </c>
      <c r="U48" s="54">
        <v>5.2600000000000001E-2</v>
      </c>
      <c r="V48" s="101" t="s">
        <v>297</v>
      </c>
    </row>
    <row r="49" spans="1:22">
      <c r="A49" s="14" t="s">
        <v>18</v>
      </c>
      <c r="B49" s="9" t="s">
        <v>52</v>
      </c>
      <c r="C49" s="9">
        <v>133</v>
      </c>
      <c r="D49" s="16">
        <v>207</v>
      </c>
      <c r="E49" s="16">
        <v>80</v>
      </c>
      <c r="F49" s="16">
        <v>580</v>
      </c>
      <c r="G49" s="7">
        <v>8.2070000000000007</v>
      </c>
      <c r="H49" s="7">
        <v>8.2550000000000008</v>
      </c>
      <c r="I49" s="30">
        <v>11.759</v>
      </c>
      <c r="J49" s="9">
        <v>90</v>
      </c>
      <c r="K49" s="9">
        <v>90</v>
      </c>
      <c r="L49" s="9">
        <v>90</v>
      </c>
      <c r="M49" s="14">
        <v>2.2210000000000001</v>
      </c>
      <c r="N49" s="8">
        <v>4.8999999999999998E-4</v>
      </c>
      <c r="O49" s="8">
        <v>350000000</v>
      </c>
      <c r="P49" s="8">
        <v>2400000000</v>
      </c>
      <c r="Q49" s="17" t="s">
        <v>96</v>
      </c>
      <c r="R49" s="14">
        <v>50</v>
      </c>
      <c r="S49" s="17">
        <v>20.100000000000001</v>
      </c>
      <c r="T49" s="24">
        <v>918</v>
      </c>
      <c r="U49" s="28">
        <v>12</v>
      </c>
      <c r="V49" s="92" t="s">
        <v>102</v>
      </c>
    </row>
    <row r="50" spans="1:22">
      <c r="A50" s="37" t="s">
        <v>137</v>
      </c>
      <c r="B50" s="45" t="s">
        <v>142</v>
      </c>
      <c r="C50" s="9">
        <v>133</v>
      </c>
      <c r="D50" s="16">
        <v>207</v>
      </c>
      <c r="E50" s="16">
        <v>80</v>
      </c>
      <c r="F50" s="16">
        <v>580</v>
      </c>
      <c r="G50" s="7">
        <v>8.3699999999999992</v>
      </c>
      <c r="H50" s="7">
        <v>12.011100000000001</v>
      </c>
      <c r="I50" s="30">
        <v>8.4250000000000007</v>
      </c>
      <c r="J50" s="27">
        <v>90</v>
      </c>
      <c r="K50" s="27">
        <v>90</v>
      </c>
      <c r="L50" s="27">
        <v>90</v>
      </c>
      <c r="M50" s="56">
        <v>2.2999999999999998</v>
      </c>
      <c r="N50" s="39">
        <v>2.5000000000000001E-3</v>
      </c>
      <c r="O50" s="39">
        <v>7850000000</v>
      </c>
      <c r="P50" s="40">
        <v>10000000000</v>
      </c>
      <c r="Q50" s="41" t="s">
        <v>133</v>
      </c>
      <c r="R50" s="41">
        <v>80</v>
      </c>
      <c r="S50" s="41">
        <v>20</v>
      </c>
      <c r="T50" s="42">
        <v>1256</v>
      </c>
      <c r="U50" s="63">
        <v>0.7</v>
      </c>
      <c r="V50" s="99" t="s">
        <v>276</v>
      </c>
    </row>
    <row r="51" spans="1:22">
      <c r="A51" s="52" t="s">
        <v>11</v>
      </c>
      <c r="B51" s="45" t="s">
        <v>165</v>
      </c>
      <c r="C51" s="52">
        <v>133</v>
      </c>
      <c r="D51" s="52">
        <v>207</v>
      </c>
      <c r="E51" s="52">
        <v>80</v>
      </c>
      <c r="F51" s="52">
        <v>580</v>
      </c>
      <c r="G51" s="7">
        <v>8.3699999999999992</v>
      </c>
      <c r="H51" s="7">
        <v>12.011100000000001</v>
      </c>
      <c r="I51" s="7">
        <v>8.4250000000000007</v>
      </c>
      <c r="J51" s="17">
        <v>90</v>
      </c>
      <c r="K51" s="17">
        <v>90</v>
      </c>
      <c r="L51" s="17">
        <v>90</v>
      </c>
      <c r="M51" s="52">
        <v>2.23</v>
      </c>
      <c r="N51" s="63">
        <v>1E-3</v>
      </c>
      <c r="O51" s="39">
        <v>8000000000</v>
      </c>
      <c r="P51" s="40">
        <v>10000000000</v>
      </c>
      <c r="Q51" s="52" t="s">
        <v>96</v>
      </c>
      <c r="R51" s="52">
        <v>45</v>
      </c>
      <c r="S51" s="52">
        <v>10</v>
      </c>
      <c r="T51" s="39">
        <v>2860</v>
      </c>
      <c r="U51" s="52">
        <v>0.1</v>
      </c>
      <c r="V51" s="97" t="s">
        <v>287</v>
      </c>
    </row>
    <row r="52" spans="1:22">
      <c r="A52" s="14" t="s">
        <v>18</v>
      </c>
      <c r="B52" s="9" t="s">
        <v>37</v>
      </c>
      <c r="C52" s="16">
        <v>32</v>
      </c>
      <c r="D52" s="16">
        <v>207</v>
      </c>
      <c r="E52" s="16">
        <v>80</v>
      </c>
      <c r="F52" s="16">
        <v>479</v>
      </c>
      <c r="G52" s="7">
        <v>6.0385299999999997</v>
      </c>
      <c r="H52" s="7">
        <v>6.0596800000000002</v>
      </c>
      <c r="I52" s="7">
        <v>6.1281800000000004</v>
      </c>
      <c r="J52" s="9">
        <v>90</v>
      </c>
      <c r="K52" s="9">
        <v>90</v>
      </c>
      <c r="L52" s="9">
        <v>90</v>
      </c>
      <c r="M52" s="17">
        <v>2.15</v>
      </c>
      <c r="N52" s="36">
        <v>3.0000000000000001E-3</v>
      </c>
      <c r="O52" s="23">
        <v>130000000</v>
      </c>
      <c r="P52" s="8">
        <v>4400000000</v>
      </c>
      <c r="Q52" s="17" t="s">
        <v>64</v>
      </c>
      <c r="R52" s="14">
        <v>60</v>
      </c>
      <c r="S52" s="17">
        <v>2</v>
      </c>
      <c r="T52" s="24">
        <v>184.6</v>
      </c>
      <c r="U52" s="28">
        <v>1</v>
      </c>
      <c r="V52" s="91" t="s">
        <v>233</v>
      </c>
    </row>
    <row r="53" spans="1:22">
      <c r="A53" s="14" t="s">
        <v>18</v>
      </c>
      <c r="B53" s="33" t="s">
        <v>138</v>
      </c>
      <c r="C53" s="16">
        <v>32</v>
      </c>
      <c r="D53" s="16">
        <v>207</v>
      </c>
      <c r="E53" s="16">
        <v>80</v>
      </c>
      <c r="F53" s="16">
        <v>479</v>
      </c>
      <c r="G53" s="7">
        <v>6.0385299999999997</v>
      </c>
      <c r="H53" s="7">
        <v>6.0596800000000002</v>
      </c>
      <c r="I53" s="7">
        <v>6.1281800000000004</v>
      </c>
      <c r="J53" s="9">
        <v>90</v>
      </c>
      <c r="K53" s="9">
        <v>90</v>
      </c>
      <c r="L53" s="9">
        <v>90</v>
      </c>
      <c r="M53" s="17">
        <v>2.2999999999999998</v>
      </c>
      <c r="N53" s="8">
        <v>1.2E-2</v>
      </c>
      <c r="O53" s="8">
        <v>17000000</v>
      </c>
      <c r="P53" s="8">
        <v>70000000</v>
      </c>
      <c r="Q53" s="17" t="s">
        <v>64</v>
      </c>
      <c r="R53" s="14">
        <v>50</v>
      </c>
      <c r="S53" s="17">
        <v>0.05</v>
      </c>
      <c r="T53" s="24">
        <v>80</v>
      </c>
      <c r="U53" s="17">
        <v>0.5</v>
      </c>
      <c r="V53" s="91" t="s">
        <v>92</v>
      </c>
    </row>
    <row r="54" spans="1:22">
      <c r="A54" s="37" t="s">
        <v>137</v>
      </c>
      <c r="B54" s="33" t="s">
        <v>138</v>
      </c>
      <c r="C54" s="16">
        <v>32</v>
      </c>
      <c r="D54" s="16">
        <v>207</v>
      </c>
      <c r="E54" s="16">
        <v>80</v>
      </c>
      <c r="F54" s="16">
        <v>479</v>
      </c>
      <c r="G54" s="7">
        <v>6.0385299999999997</v>
      </c>
      <c r="H54" s="7">
        <v>6.0596800000000002</v>
      </c>
      <c r="I54" s="7">
        <v>6.1281800000000004</v>
      </c>
      <c r="J54" s="9">
        <v>90</v>
      </c>
      <c r="K54" s="9">
        <v>90</v>
      </c>
      <c r="L54" s="9">
        <v>90</v>
      </c>
      <c r="M54" s="38">
        <v>2.2799999999999998</v>
      </c>
      <c r="N54" s="39">
        <v>4.1000000000000002E-2</v>
      </c>
      <c r="O54" s="40">
        <v>9.9999999999999995E-8</v>
      </c>
      <c r="P54" s="39">
        <v>1860000000</v>
      </c>
      <c r="Q54" s="41" t="s">
        <v>133</v>
      </c>
      <c r="R54" s="41">
        <v>100</v>
      </c>
      <c r="S54" s="41">
        <v>0.83</v>
      </c>
      <c r="T54" s="42">
        <v>259.89999999999998</v>
      </c>
      <c r="U54" s="43">
        <v>46</v>
      </c>
      <c r="V54" s="97" t="s">
        <v>144</v>
      </c>
    </row>
    <row r="55" spans="1:22">
      <c r="A55" s="14" t="s">
        <v>43</v>
      </c>
      <c r="B55" s="9" t="s">
        <v>14</v>
      </c>
      <c r="C55" s="16">
        <v>32</v>
      </c>
      <c r="D55" s="16">
        <v>207</v>
      </c>
      <c r="E55" s="16">
        <v>127</v>
      </c>
      <c r="F55" s="16">
        <v>620</v>
      </c>
      <c r="G55" s="7">
        <v>8.8725000000000005</v>
      </c>
      <c r="H55" s="7">
        <v>8.8725000000000005</v>
      </c>
      <c r="I55" s="7">
        <v>12.547000000000001</v>
      </c>
      <c r="J55" s="9">
        <v>90</v>
      </c>
      <c r="K55" s="9">
        <v>90</v>
      </c>
      <c r="L55" s="9">
        <v>90</v>
      </c>
      <c r="M55" s="14">
        <v>1.54</v>
      </c>
      <c r="N55" s="8">
        <v>5.4599999999999996E-3</v>
      </c>
      <c r="O55" s="23">
        <v>2000000000</v>
      </c>
      <c r="P55" s="36">
        <v>1000000000000000</v>
      </c>
      <c r="Q55" s="17" t="s">
        <v>96</v>
      </c>
      <c r="R55" s="14">
        <v>40</v>
      </c>
      <c r="S55" s="17">
        <v>6.58</v>
      </c>
      <c r="T55" s="29">
        <v>420000</v>
      </c>
      <c r="U55" s="17">
        <v>0.35</v>
      </c>
      <c r="V55" s="93" t="s">
        <v>98</v>
      </c>
    </row>
    <row r="56" spans="1:22">
      <c r="A56" s="14" t="s">
        <v>201</v>
      </c>
      <c r="B56" s="9" t="s">
        <v>50</v>
      </c>
      <c r="C56" s="9">
        <v>32</v>
      </c>
      <c r="D56" s="16">
        <v>209</v>
      </c>
      <c r="E56" s="16">
        <v>127</v>
      </c>
      <c r="F56" s="9">
        <v>1657</v>
      </c>
      <c r="G56" s="7">
        <v>8.44</v>
      </c>
      <c r="H56" s="7">
        <v>8.44</v>
      </c>
      <c r="I56" s="7">
        <v>21.63</v>
      </c>
      <c r="J56" s="9">
        <v>90</v>
      </c>
      <c r="K56" s="9">
        <v>90</v>
      </c>
      <c r="L56" s="9">
        <v>120</v>
      </c>
      <c r="M56" s="14">
        <v>1.98</v>
      </c>
      <c r="N56" s="8">
        <v>2.8E-3</v>
      </c>
      <c r="O56" s="8">
        <v>527000000000</v>
      </c>
      <c r="P56" s="23">
        <v>22000000000</v>
      </c>
      <c r="Q56" s="17" t="s">
        <v>96</v>
      </c>
      <c r="R56" s="14">
        <v>140</v>
      </c>
      <c r="S56" s="17">
        <v>480</v>
      </c>
      <c r="T56" s="24">
        <v>10620</v>
      </c>
      <c r="U56" s="17">
        <v>6.2E-4</v>
      </c>
      <c r="V56" s="91" t="s">
        <v>99</v>
      </c>
    </row>
    <row r="57" spans="1:22">
      <c r="A57" s="14" t="s">
        <v>28</v>
      </c>
      <c r="B57" s="9" t="s">
        <v>40</v>
      </c>
      <c r="C57" s="9">
        <v>32</v>
      </c>
      <c r="D57" s="16">
        <v>209</v>
      </c>
      <c r="E57" s="16">
        <v>127</v>
      </c>
      <c r="F57" s="9">
        <v>1657</v>
      </c>
      <c r="G57" s="7">
        <v>8.44</v>
      </c>
      <c r="H57" s="7">
        <v>8.44</v>
      </c>
      <c r="I57" s="7">
        <v>21.63</v>
      </c>
      <c r="J57" s="9">
        <v>90</v>
      </c>
      <c r="K57" s="9">
        <v>90</v>
      </c>
      <c r="L57" s="9">
        <v>120</v>
      </c>
      <c r="M57" s="17">
        <v>1.99</v>
      </c>
      <c r="N57" s="8">
        <v>2.8700000000000002E-3</v>
      </c>
      <c r="O57" s="8">
        <v>37400000000</v>
      </c>
      <c r="P57" s="8">
        <v>75000000000</v>
      </c>
      <c r="Q57" s="14" t="s">
        <v>64</v>
      </c>
      <c r="R57" s="14">
        <v>40</v>
      </c>
      <c r="S57" s="17">
        <v>50</v>
      </c>
      <c r="T57" s="24">
        <v>1947</v>
      </c>
      <c r="U57" s="17">
        <v>8.3000000000000004E-2</v>
      </c>
      <c r="V57" s="91" t="s">
        <v>87</v>
      </c>
    </row>
    <row r="58" spans="1:22">
      <c r="A58" s="14" t="s">
        <v>215</v>
      </c>
      <c r="B58" s="9" t="s">
        <v>50</v>
      </c>
      <c r="C58" s="9">
        <v>32</v>
      </c>
      <c r="D58" s="16">
        <v>209</v>
      </c>
      <c r="E58" s="16">
        <v>127</v>
      </c>
      <c r="F58" s="9">
        <v>1657</v>
      </c>
      <c r="G58" s="7">
        <v>8.44</v>
      </c>
      <c r="H58" s="7">
        <v>8.44</v>
      </c>
      <c r="I58" s="7">
        <v>21.63</v>
      </c>
      <c r="J58" s="9">
        <v>90</v>
      </c>
      <c r="K58" s="9">
        <v>90</v>
      </c>
      <c r="L58" s="9">
        <v>120</v>
      </c>
      <c r="M58" s="14">
        <v>2.08</v>
      </c>
      <c r="N58" s="8">
        <v>4.6E-5</v>
      </c>
      <c r="O58" s="8">
        <v>228000000000</v>
      </c>
      <c r="P58" s="23">
        <v>663000000000</v>
      </c>
      <c r="Q58" s="17" t="s">
        <v>96</v>
      </c>
      <c r="R58" s="14">
        <v>45</v>
      </c>
      <c r="S58" s="17">
        <v>2100</v>
      </c>
      <c r="T58" s="24">
        <v>563</v>
      </c>
      <c r="U58" s="17">
        <v>9.2999999999999992E-3</v>
      </c>
      <c r="V58" s="91" t="s">
        <v>100</v>
      </c>
    </row>
    <row r="59" spans="1:22">
      <c r="A59" s="14" t="s">
        <v>4</v>
      </c>
      <c r="B59" s="9" t="s">
        <v>340</v>
      </c>
      <c r="C59" s="14">
        <v>133</v>
      </c>
      <c r="D59" s="14">
        <v>209</v>
      </c>
      <c r="E59" s="16">
        <v>80</v>
      </c>
      <c r="F59" s="16">
        <v>1537</v>
      </c>
      <c r="G59" s="22">
        <v>7.96</v>
      </c>
      <c r="H59" s="10">
        <v>7.96</v>
      </c>
      <c r="I59" s="22">
        <v>9.84</v>
      </c>
      <c r="J59" s="27">
        <v>90</v>
      </c>
      <c r="K59" s="27">
        <v>90</v>
      </c>
      <c r="L59" s="27">
        <v>120</v>
      </c>
      <c r="M59" s="14">
        <v>2.61</v>
      </c>
      <c r="N59" s="8">
        <v>8.3199999999999995E-4</v>
      </c>
      <c r="O59" s="14">
        <v>1410000000000</v>
      </c>
      <c r="P59" s="8">
        <v>996000000</v>
      </c>
      <c r="Q59" s="14" t="s">
        <v>64</v>
      </c>
      <c r="R59" s="14">
        <v>70</v>
      </c>
      <c r="S59" s="14">
        <v>1000</v>
      </c>
      <c r="T59" s="14">
        <v>978</v>
      </c>
      <c r="U59" s="14">
        <v>3.37</v>
      </c>
      <c r="V59" s="91" t="s">
        <v>103</v>
      </c>
    </row>
    <row r="60" spans="1:22">
      <c r="A60" s="14" t="s">
        <v>4</v>
      </c>
      <c r="B60" s="9" t="s">
        <v>117</v>
      </c>
      <c r="C60" s="14">
        <v>133</v>
      </c>
      <c r="D60" s="14">
        <v>209</v>
      </c>
      <c r="E60" s="16">
        <v>80</v>
      </c>
      <c r="F60" s="16">
        <v>1537</v>
      </c>
      <c r="G60" s="22">
        <v>7.96</v>
      </c>
      <c r="H60" s="10">
        <v>7.96</v>
      </c>
      <c r="I60" s="22">
        <v>9.84</v>
      </c>
      <c r="J60" s="27">
        <v>90</v>
      </c>
      <c r="K60" s="27">
        <v>90</v>
      </c>
      <c r="L60" s="27">
        <v>120</v>
      </c>
      <c r="M60" s="14">
        <v>2.61</v>
      </c>
      <c r="N60" s="8">
        <v>3.7299999999999999E-5</v>
      </c>
      <c r="O60" s="14">
        <v>680000000000</v>
      </c>
      <c r="P60" s="8">
        <v>97000000000</v>
      </c>
      <c r="Q60" s="14" t="s">
        <v>229</v>
      </c>
      <c r="R60" s="14">
        <v>50</v>
      </c>
      <c r="S60" s="14">
        <v>4000.2</v>
      </c>
      <c r="T60" s="14">
        <v>230.4</v>
      </c>
      <c r="U60" s="28">
        <v>10</v>
      </c>
      <c r="V60" s="91" t="s">
        <v>192</v>
      </c>
    </row>
    <row r="61" spans="1:22" ht="29.25" customHeight="1">
      <c r="A61" t="s">
        <v>245</v>
      </c>
      <c r="B61" s="86" t="s">
        <v>244</v>
      </c>
      <c r="C61">
        <v>45</v>
      </c>
      <c r="D61">
        <v>207</v>
      </c>
      <c r="E61">
        <v>127</v>
      </c>
      <c r="F61">
        <f>C61+D61+E61*3</f>
        <v>633</v>
      </c>
      <c r="G61">
        <v>9.3803000000000001</v>
      </c>
      <c r="H61">
        <v>9.3803000000000001</v>
      </c>
      <c r="I61" s="1">
        <v>8.2222000000000008</v>
      </c>
      <c r="J61">
        <v>90</v>
      </c>
      <c r="K61">
        <v>90</v>
      </c>
      <c r="L61">
        <v>120</v>
      </c>
      <c r="M61" s="59">
        <v>2.38</v>
      </c>
      <c r="N61" s="67">
        <v>1.0399999999999999E-4</v>
      </c>
      <c r="O61" s="67">
        <v>5030000000</v>
      </c>
      <c r="P61" s="82">
        <v>100000000000</v>
      </c>
      <c r="Q61" s="54" t="s">
        <v>133</v>
      </c>
      <c r="R61" s="69">
        <v>50</v>
      </c>
      <c r="S61" s="54">
        <v>100</v>
      </c>
      <c r="T61" s="55">
        <v>590.6</v>
      </c>
      <c r="U61" s="54">
        <v>8.14E-2</v>
      </c>
      <c r="V61" s="101" t="s">
        <v>246</v>
      </c>
    </row>
    <row r="62" spans="1:22" ht="29.25" customHeight="1">
      <c r="A62" s="52" t="s">
        <v>160</v>
      </c>
      <c r="B62" s="45" t="s">
        <v>217</v>
      </c>
      <c r="C62">
        <v>32</v>
      </c>
      <c r="D62">
        <v>207</v>
      </c>
      <c r="E62">
        <v>127</v>
      </c>
      <c r="F62">
        <v>620</v>
      </c>
      <c r="G62">
        <v>8.8725000000000005</v>
      </c>
      <c r="H62">
        <v>8.8725000000000005</v>
      </c>
      <c r="I62">
        <v>12.547000000000001</v>
      </c>
      <c r="J62">
        <v>90</v>
      </c>
      <c r="K62">
        <v>90</v>
      </c>
      <c r="L62">
        <v>90</v>
      </c>
      <c r="M62" s="64">
        <v>1.54</v>
      </c>
      <c r="N62" s="67">
        <v>5.5999999999999999E-5</v>
      </c>
      <c r="O62" s="67">
        <v>350000000</v>
      </c>
      <c r="P62" s="40">
        <f>$P$113</f>
        <v>1000000000000000</v>
      </c>
      <c r="Q62" t="s">
        <v>133</v>
      </c>
      <c r="R62" s="43">
        <v>70</v>
      </c>
      <c r="S62" s="52">
        <v>33.299999999999997</v>
      </c>
      <c r="T62" s="39">
        <v>24300</v>
      </c>
      <c r="U62" s="52">
        <v>3.1</v>
      </c>
      <c r="V62" s="97" t="s">
        <v>163</v>
      </c>
    </row>
    <row r="63" spans="1:22" ht="29.25" customHeight="1">
      <c r="A63" s="1" t="s">
        <v>256</v>
      </c>
      <c r="B63" s="1" t="s">
        <v>263</v>
      </c>
      <c r="C63">
        <v>32</v>
      </c>
      <c r="D63">
        <v>207</v>
      </c>
      <c r="E63">
        <v>127</v>
      </c>
      <c r="F63" s="1">
        <v>620</v>
      </c>
      <c r="G63">
        <v>8.8725000000000005</v>
      </c>
      <c r="H63">
        <v>8.8725000000000005</v>
      </c>
      <c r="I63" s="1">
        <v>12.547000000000001</v>
      </c>
      <c r="J63" s="59">
        <v>90</v>
      </c>
      <c r="K63">
        <v>90</v>
      </c>
      <c r="L63">
        <v>90</v>
      </c>
      <c r="M63" s="82">
        <v>1.54</v>
      </c>
      <c r="N63" s="84">
        <v>1E-3</v>
      </c>
      <c r="O63" s="84">
        <v>5000000000</v>
      </c>
      <c r="P63" s="67">
        <v>2.47E+16</v>
      </c>
      <c r="Q63" t="s">
        <v>96</v>
      </c>
      <c r="R63">
        <v>20</v>
      </c>
      <c r="S63">
        <v>33.299999999999997</v>
      </c>
      <c r="T63" s="55">
        <v>143169</v>
      </c>
      <c r="U63">
        <v>3.0769999999999999E-2</v>
      </c>
      <c r="V63" s="101" t="s">
        <v>259</v>
      </c>
    </row>
    <row r="64" spans="1:22">
      <c r="A64" t="s">
        <v>264</v>
      </c>
      <c r="B64" s="1" t="s">
        <v>263</v>
      </c>
      <c r="C64">
        <v>32</v>
      </c>
      <c r="D64">
        <v>207</v>
      </c>
      <c r="E64">
        <v>127</v>
      </c>
      <c r="F64" s="1">
        <v>620</v>
      </c>
      <c r="G64">
        <v>8.8725000000000005</v>
      </c>
      <c r="H64">
        <v>8.8725000000000005</v>
      </c>
      <c r="I64" s="1">
        <v>12.547000000000001</v>
      </c>
      <c r="J64" s="59">
        <v>90</v>
      </c>
      <c r="K64">
        <v>90</v>
      </c>
      <c r="L64">
        <v>90</v>
      </c>
      <c r="M64" s="82">
        <v>1.54</v>
      </c>
      <c r="N64" s="67">
        <v>3.4400000000000001E-4</v>
      </c>
      <c r="O64" s="84">
        <v>700000000</v>
      </c>
      <c r="P64" s="67">
        <v>1.5E-11</v>
      </c>
      <c r="Q64" t="s">
        <v>96</v>
      </c>
      <c r="R64">
        <v>50</v>
      </c>
      <c r="S64">
        <v>24</v>
      </c>
      <c r="T64" s="55">
        <v>8291.2199999999993</v>
      </c>
      <c r="U64" s="54">
        <v>0.34</v>
      </c>
      <c r="V64" s="102" t="s">
        <v>265</v>
      </c>
    </row>
    <row r="65" spans="1:24" ht="23.7" customHeight="1">
      <c r="A65" t="s">
        <v>191</v>
      </c>
      <c r="B65" t="s">
        <v>14</v>
      </c>
      <c r="C65">
        <v>32</v>
      </c>
      <c r="D65">
        <v>207</v>
      </c>
      <c r="E65">
        <v>127</v>
      </c>
      <c r="F65">
        <v>620</v>
      </c>
      <c r="G65">
        <v>8.8725000000000005</v>
      </c>
      <c r="H65">
        <v>8.8725000000000005</v>
      </c>
      <c r="I65">
        <v>12.547000000000001</v>
      </c>
      <c r="J65">
        <v>90</v>
      </c>
      <c r="K65">
        <v>90</v>
      </c>
      <c r="L65">
        <v>90</v>
      </c>
      <c r="M65" s="87">
        <v>1.504</v>
      </c>
      <c r="N65" s="84">
        <v>3.5E-4</v>
      </c>
      <c r="O65" s="67">
        <v>130000000</v>
      </c>
      <c r="P65" s="67">
        <v>1100000000000</v>
      </c>
      <c r="Q65" t="s">
        <v>64</v>
      </c>
      <c r="R65">
        <v>50</v>
      </c>
      <c r="S65">
        <v>600</v>
      </c>
      <c r="T65" s="55">
        <v>27586</v>
      </c>
      <c r="U65" s="58">
        <v>5</v>
      </c>
      <c r="V65" s="102" t="s">
        <v>269</v>
      </c>
    </row>
    <row r="66" spans="1:24">
      <c r="A66" t="s">
        <v>43</v>
      </c>
      <c r="B66" t="s">
        <v>14</v>
      </c>
      <c r="C66">
        <v>32</v>
      </c>
      <c r="D66">
        <v>207</v>
      </c>
      <c r="E66">
        <v>127</v>
      </c>
      <c r="F66">
        <v>620</v>
      </c>
      <c r="G66">
        <v>8.8725000000000005</v>
      </c>
      <c r="H66">
        <v>8.8725000000000005</v>
      </c>
      <c r="I66">
        <v>12.547000000000001</v>
      </c>
      <c r="J66">
        <v>90</v>
      </c>
      <c r="K66">
        <v>90</v>
      </c>
      <c r="L66">
        <v>90</v>
      </c>
      <c r="M66" s="87">
        <v>1.55</v>
      </c>
      <c r="N66" s="67">
        <v>2.0000000000000001E-4</v>
      </c>
      <c r="O66" s="84">
        <v>200000000</v>
      </c>
      <c r="P66" s="40">
        <v>1000000000000</v>
      </c>
      <c r="Q66" t="s">
        <v>64</v>
      </c>
      <c r="R66">
        <v>70</v>
      </c>
      <c r="S66">
        <v>200</v>
      </c>
      <c r="T66" s="55">
        <v>2527</v>
      </c>
      <c r="U66" s="58">
        <v>4</v>
      </c>
      <c r="V66" s="102" t="s">
        <v>270</v>
      </c>
    </row>
    <row r="67" spans="1:24" ht="29.25" customHeight="1">
      <c r="A67" s="37" t="s">
        <v>137</v>
      </c>
      <c r="B67" s="45" t="s">
        <v>166</v>
      </c>
      <c r="C67" s="16">
        <v>133</v>
      </c>
      <c r="D67" s="16">
        <v>158.5</v>
      </c>
      <c r="E67" s="16">
        <v>80</v>
      </c>
      <c r="F67" s="16">
        <v>1063</v>
      </c>
      <c r="G67" s="6">
        <v>11.2562</v>
      </c>
      <c r="H67" s="6">
        <v>11.2562</v>
      </c>
      <c r="I67" s="6">
        <v>11.2562</v>
      </c>
      <c r="J67" s="9">
        <v>90</v>
      </c>
      <c r="K67" s="9">
        <v>90</v>
      </c>
      <c r="L67" s="9">
        <v>90</v>
      </c>
      <c r="M67" s="38">
        <v>2.0699999999999998</v>
      </c>
      <c r="N67" s="40">
        <v>1.2E-5</v>
      </c>
      <c r="O67" s="40">
        <v>1000000000</v>
      </c>
      <c r="P67" s="40">
        <f>$P$113</f>
        <v>1000000000000000</v>
      </c>
      <c r="Q67" s="41" t="s">
        <v>133</v>
      </c>
      <c r="R67" s="41">
        <v>83</v>
      </c>
      <c r="S67" s="41">
        <v>150</v>
      </c>
      <c r="T67" s="42">
        <v>19118</v>
      </c>
      <c r="U67" s="43">
        <v>72.599999999999994</v>
      </c>
      <c r="V67" s="99" t="s">
        <v>278</v>
      </c>
    </row>
    <row r="68" spans="1:24" ht="29.25" customHeight="1">
      <c r="A68" s="37" t="s">
        <v>137</v>
      </c>
      <c r="B68" s="45" t="s">
        <v>146</v>
      </c>
      <c r="C68" s="16">
        <v>133</v>
      </c>
      <c r="D68" s="16">
        <v>158.5</v>
      </c>
      <c r="E68" s="16">
        <v>80</v>
      </c>
      <c r="F68" s="16">
        <v>1063</v>
      </c>
      <c r="G68" s="6">
        <v>11.281000000000001</v>
      </c>
      <c r="H68" s="6">
        <v>11.281000000000001</v>
      </c>
      <c r="I68" s="6">
        <v>11.281000000000001</v>
      </c>
      <c r="J68" s="9">
        <v>90</v>
      </c>
      <c r="K68" s="9">
        <v>90</v>
      </c>
      <c r="L68" s="9">
        <v>90</v>
      </c>
      <c r="M68" s="38">
        <v>2.12</v>
      </c>
      <c r="N68" s="39">
        <v>5.9500000000000004E-3</v>
      </c>
      <c r="O68" s="39">
        <v>13500000000</v>
      </c>
      <c r="P68" s="39">
        <v>10000000000</v>
      </c>
      <c r="Q68" s="41" t="s">
        <v>147</v>
      </c>
      <c r="R68" s="41">
        <v>50</v>
      </c>
      <c r="S68" s="41">
        <v>50</v>
      </c>
      <c r="T68" s="42">
        <v>1974</v>
      </c>
      <c r="U68" s="43">
        <v>45.7</v>
      </c>
      <c r="V68" s="99" t="s">
        <v>280</v>
      </c>
    </row>
    <row r="69" spans="1:24" ht="29.25" customHeight="1">
      <c r="A69" s="37" t="s">
        <v>155</v>
      </c>
      <c r="B69" s="45" t="s">
        <v>156</v>
      </c>
      <c r="C69" s="52">
        <v>140</v>
      </c>
      <c r="D69" s="52">
        <v>207</v>
      </c>
      <c r="E69" s="52">
        <v>127</v>
      </c>
      <c r="F69" s="52">
        <v>995</v>
      </c>
      <c r="G69" s="7">
        <v>16.5777</v>
      </c>
      <c r="H69" s="7">
        <v>8.5883000000000003</v>
      </c>
      <c r="I69" s="7">
        <v>8.7589000000000006</v>
      </c>
      <c r="J69" s="17">
        <v>90</v>
      </c>
      <c r="K69" s="17">
        <v>99.207999999999998</v>
      </c>
      <c r="L69" s="17">
        <v>90</v>
      </c>
      <c r="M69" s="52">
        <v>2.2599999999999998</v>
      </c>
      <c r="N69" s="39">
        <v>1.08E-4</v>
      </c>
      <c r="O69" s="39">
        <v>63300000000000</v>
      </c>
      <c r="P69" s="39">
        <v>17300000000</v>
      </c>
      <c r="Q69" s="52" t="s">
        <v>157</v>
      </c>
      <c r="R69" s="52">
        <v>120</v>
      </c>
      <c r="S69" s="52">
        <v>800</v>
      </c>
      <c r="T69" s="52">
        <v>119.79</v>
      </c>
      <c r="U69" s="52">
        <v>1.06</v>
      </c>
      <c r="V69" s="100" t="s">
        <v>285</v>
      </c>
    </row>
    <row r="70" spans="1:24" ht="29.25" customHeight="1">
      <c r="A70" s="52" t="s">
        <v>155</v>
      </c>
      <c r="B70" s="45" t="s">
        <v>158</v>
      </c>
      <c r="C70" s="52">
        <v>122</v>
      </c>
      <c r="D70" s="52">
        <v>207</v>
      </c>
      <c r="E70" s="52">
        <v>127</v>
      </c>
      <c r="F70" s="52">
        <v>959</v>
      </c>
      <c r="G70" s="7">
        <v>32.508000000000003</v>
      </c>
      <c r="H70" s="7">
        <v>32.508000000000003</v>
      </c>
      <c r="I70" s="7">
        <v>6.1849999999999996</v>
      </c>
      <c r="J70" s="17">
        <v>90</v>
      </c>
      <c r="K70" s="17">
        <v>93.8</v>
      </c>
      <c r="L70" s="17">
        <v>90</v>
      </c>
      <c r="M70" s="52">
        <v>2.2400000000000002</v>
      </c>
      <c r="N70" s="39">
        <v>6.2500000000000001E-5</v>
      </c>
      <c r="O70" s="39">
        <v>14200000000000</v>
      </c>
      <c r="P70" s="39">
        <v>13400000000</v>
      </c>
      <c r="Q70" s="52" t="s">
        <v>157</v>
      </c>
      <c r="R70" s="52">
        <v>40</v>
      </c>
      <c r="S70" s="52">
        <v>800</v>
      </c>
      <c r="T70" s="52">
        <v>114.74</v>
      </c>
      <c r="U70" s="52">
        <v>1.01</v>
      </c>
      <c r="V70" s="100" t="s">
        <v>285</v>
      </c>
    </row>
    <row r="71" spans="1:24" ht="29.25" customHeight="1">
      <c r="A71" s="52" t="s">
        <v>168</v>
      </c>
      <c r="B71" s="45" t="s">
        <v>170</v>
      </c>
      <c r="C71" s="52">
        <v>133</v>
      </c>
      <c r="D71" s="52">
        <v>158.5</v>
      </c>
      <c r="E71" s="52">
        <v>80</v>
      </c>
      <c r="F71" s="52">
        <v>1063</v>
      </c>
      <c r="G71" s="7">
        <v>11.2562</v>
      </c>
      <c r="H71" s="7">
        <v>11.2562</v>
      </c>
      <c r="I71" s="7">
        <v>11.2562</v>
      </c>
      <c r="J71" s="17">
        <v>90</v>
      </c>
      <c r="K71" s="17">
        <v>90</v>
      </c>
      <c r="L71" s="17">
        <v>90</v>
      </c>
      <c r="M71" s="50">
        <v>2.27</v>
      </c>
      <c r="N71" s="39">
        <v>9.1399999999999999E-4</v>
      </c>
      <c r="O71" s="39">
        <v>550000000000</v>
      </c>
      <c r="P71" s="65">
        <v>1700000000</v>
      </c>
      <c r="Q71" s="52" t="s">
        <v>96</v>
      </c>
      <c r="R71" s="52">
        <v>50</v>
      </c>
      <c r="S71" s="52">
        <v>50</v>
      </c>
      <c r="T71" s="39">
        <v>316</v>
      </c>
      <c r="U71" s="63">
        <v>0.06</v>
      </c>
      <c r="V71" s="97" t="s">
        <v>288</v>
      </c>
    </row>
    <row r="72" spans="1:24" ht="29.25" customHeight="1">
      <c r="A72" s="52" t="s">
        <v>168</v>
      </c>
      <c r="B72" s="45" t="s">
        <v>341</v>
      </c>
      <c r="C72" s="52">
        <v>133</v>
      </c>
      <c r="D72" s="52">
        <v>158.5</v>
      </c>
      <c r="E72" s="52">
        <v>80</v>
      </c>
      <c r="F72" s="52">
        <v>1063</v>
      </c>
      <c r="G72" s="7">
        <v>11.2333</v>
      </c>
      <c r="H72" s="7">
        <v>11.2333</v>
      </c>
      <c r="I72" s="7">
        <v>11.2333</v>
      </c>
      <c r="J72" s="17">
        <v>90</v>
      </c>
      <c r="K72" s="17">
        <v>90</v>
      </c>
      <c r="L72" s="17">
        <v>90</v>
      </c>
      <c r="M72" s="57">
        <v>2.1</v>
      </c>
      <c r="N72" s="39">
        <v>9.1399999999999999E-4</v>
      </c>
      <c r="O72" s="40">
        <v>100000000000</v>
      </c>
      <c r="P72" s="39">
        <v>6040000000</v>
      </c>
      <c r="Q72" s="52" t="s">
        <v>209</v>
      </c>
      <c r="R72" s="52">
        <v>50</v>
      </c>
      <c r="S72" s="52">
        <v>22.7</v>
      </c>
      <c r="T72" s="39">
        <v>165.6</v>
      </c>
      <c r="U72" s="63">
        <v>0.01</v>
      </c>
      <c r="V72" s="100" t="s">
        <v>289</v>
      </c>
    </row>
    <row r="73" spans="1:24" ht="29.25" customHeight="1">
      <c r="A73" s="14" t="s">
        <v>18</v>
      </c>
      <c r="B73" s="9" t="s">
        <v>22</v>
      </c>
      <c r="C73" s="16">
        <v>45</v>
      </c>
      <c r="D73" s="16">
        <v>207</v>
      </c>
      <c r="E73" s="16">
        <v>80</v>
      </c>
      <c r="F73" s="16">
        <v>421</v>
      </c>
      <c r="G73" s="22">
        <v>5.9450000000000003</v>
      </c>
      <c r="H73" s="22">
        <v>5.9450000000000003</v>
      </c>
      <c r="I73" s="22">
        <v>5.9450000000000003</v>
      </c>
      <c r="J73" s="9">
        <v>90</v>
      </c>
      <c r="K73" s="9">
        <v>90</v>
      </c>
      <c r="L73" s="9">
        <v>90</v>
      </c>
      <c r="M73" s="68">
        <v>2.2999999999999998</v>
      </c>
      <c r="N73" s="8">
        <v>1.14E-3</v>
      </c>
      <c r="O73" s="18">
        <v>67600000</v>
      </c>
      <c r="P73" s="67">
        <v>30000000000</v>
      </c>
      <c r="Q73" s="14" t="s">
        <v>213</v>
      </c>
      <c r="R73" s="14">
        <v>50</v>
      </c>
      <c r="S73" s="28">
        <v>500</v>
      </c>
      <c r="T73" s="39">
        <v>21386.880000000001</v>
      </c>
      <c r="U73" s="68">
        <v>1.4999999999999999E-2</v>
      </c>
      <c r="V73" s="102" t="s">
        <v>298</v>
      </c>
    </row>
    <row r="74" spans="1:24" s="116" customFormat="1" ht="19.5" customHeight="1">
      <c r="A74" s="114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</row>
    <row r="75" spans="1:24" ht="66.599999999999994" customHeight="1">
      <c r="A75" s="14" t="s">
        <v>3</v>
      </c>
      <c r="B75" s="15" t="s">
        <v>309</v>
      </c>
      <c r="C75" s="16">
        <v>108.4</v>
      </c>
      <c r="D75" s="16">
        <v>112.4</v>
      </c>
      <c r="E75" s="16">
        <v>35.5</v>
      </c>
      <c r="F75" s="16">
        <v>327.3</v>
      </c>
      <c r="G75" s="10">
        <v>9.4049999999999994</v>
      </c>
      <c r="H75" s="10">
        <v>15.643000000000001</v>
      </c>
      <c r="I75" s="10">
        <v>6.7548000000000004</v>
      </c>
      <c r="J75" s="14">
        <v>90</v>
      </c>
      <c r="K75" s="14">
        <v>94.376000000000005</v>
      </c>
      <c r="L75" s="14">
        <v>90</v>
      </c>
      <c r="M75" s="17">
        <v>5.51</v>
      </c>
      <c r="N75" s="18">
        <v>1.4200000000000001E-4</v>
      </c>
      <c r="O75" s="18">
        <v>15500000</v>
      </c>
      <c r="P75" s="8">
        <v>140000000000</v>
      </c>
      <c r="Q75" s="14" t="s">
        <v>62</v>
      </c>
      <c r="R75" s="14">
        <v>40</v>
      </c>
      <c r="S75" s="17">
        <v>310</v>
      </c>
      <c r="T75" s="20" t="s">
        <v>63</v>
      </c>
      <c r="U75" s="17">
        <v>1060</v>
      </c>
      <c r="V75" s="95" t="s">
        <v>310</v>
      </c>
    </row>
    <row r="76" spans="1:24" ht="44.7" customHeight="1">
      <c r="A76" s="14" t="s">
        <v>11</v>
      </c>
      <c r="B76" s="9" t="s">
        <v>12</v>
      </c>
      <c r="C76" s="16">
        <v>47</v>
      </c>
      <c r="D76" s="16">
        <v>207</v>
      </c>
      <c r="E76" s="16">
        <v>120</v>
      </c>
      <c r="F76" s="16">
        <v>614</v>
      </c>
      <c r="G76" s="26">
        <v>6.4074600000000004</v>
      </c>
      <c r="H76" s="26">
        <v>6.2656200000000002</v>
      </c>
      <c r="I76" s="26">
        <v>6.3375700000000004</v>
      </c>
      <c r="J76" s="27">
        <v>90</v>
      </c>
      <c r="K76" s="27">
        <v>90</v>
      </c>
      <c r="L76" s="27">
        <v>90</v>
      </c>
      <c r="M76" s="17">
        <v>1.53</v>
      </c>
      <c r="N76" s="23">
        <v>200</v>
      </c>
      <c r="O76" s="18">
        <v>45000000</v>
      </c>
      <c r="P76" s="8">
        <v>1700000000</v>
      </c>
      <c r="Q76" s="14" t="s">
        <v>64</v>
      </c>
      <c r="R76" s="14">
        <v>40</v>
      </c>
      <c r="S76" s="17">
        <v>60</v>
      </c>
      <c r="T76" s="8">
        <v>3500000</v>
      </c>
      <c r="U76" s="17">
        <v>4.2000000000000003E-2</v>
      </c>
      <c r="V76" s="93" t="s">
        <v>68</v>
      </c>
    </row>
    <row r="77" spans="1:24" ht="14.1" customHeight="1">
      <c r="A77" s="14" t="s">
        <v>3</v>
      </c>
      <c r="B77" s="9" t="s">
        <v>311</v>
      </c>
      <c r="C77" s="16">
        <v>88</v>
      </c>
      <c r="D77" s="16">
        <v>18</v>
      </c>
      <c r="E77" s="16">
        <v>80</v>
      </c>
      <c r="F77" s="16">
        <v>346</v>
      </c>
      <c r="G77" s="25">
        <v>9.5719999999999992</v>
      </c>
      <c r="H77" s="25">
        <v>9.5719999999999992</v>
      </c>
      <c r="I77" s="25">
        <v>23.204000000000001</v>
      </c>
      <c r="J77" s="9">
        <v>90</v>
      </c>
      <c r="K77" s="14">
        <v>90</v>
      </c>
      <c r="L77" s="14">
        <v>120</v>
      </c>
      <c r="M77" s="17">
        <v>5.25</v>
      </c>
      <c r="N77" s="8">
        <v>1.1999999999999999E-3</v>
      </c>
      <c r="O77" s="18">
        <v>238000000</v>
      </c>
      <c r="P77" s="8">
        <v>2600000000</v>
      </c>
      <c r="Q77" s="14" t="s">
        <v>62</v>
      </c>
      <c r="R77" s="14">
        <v>40</v>
      </c>
      <c r="S77" s="17">
        <v>1250</v>
      </c>
      <c r="T77" s="24">
        <v>173</v>
      </c>
      <c r="U77" s="17">
        <v>4.96</v>
      </c>
      <c r="V77" s="91" t="s">
        <v>69</v>
      </c>
    </row>
    <row r="78" spans="1:24" ht="13.5" customHeight="1">
      <c r="A78" s="14" t="s">
        <v>3</v>
      </c>
      <c r="B78" s="9" t="s">
        <v>13</v>
      </c>
      <c r="C78" s="16">
        <v>127</v>
      </c>
      <c r="D78" s="16">
        <v>18</v>
      </c>
      <c r="E78" s="16">
        <v>127</v>
      </c>
      <c r="F78" s="16">
        <v>526</v>
      </c>
      <c r="G78" s="7">
        <v>7.2217000000000002</v>
      </c>
      <c r="H78" s="7">
        <v>7.2217000000000002</v>
      </c>
      <c r="I78" s="7">
        <v>7.2217000000000002</v>
      </c>
      <c r="J78" s="14">
        <v>84.8</v>
      </c>
      <c r="K78" s="14">
        <v>84.8</v>
      </c>
      <c r="L78" s="14">
        <v>84.8</v>
      </c>
      <c r="M78" s="17">
        <v>4.95</v>
      </c>
      <c r="N78" s="8">
        <v>6.7000000000000002E-4</v>
      </c>
      <c r="O78" s="18">
        <v>19000000</v>
      </c>
      <c r="P78" s="8">
        <v>5650000000</v>
      </c>
      <c r="Q78" s="14" t="s">
        <v>62</v>
      </c>
      <c r="R78" s="14">
        <v>40</v>
      </c>
      <c r="S78" s="17">
        <v>1250</v>
      </c>
      <c r="T78" s="24">
        <v>1997</v>
      </c>
      <c r="U78" s="28">
        <v>26.3</v>
      </c>
      <c r="V78" s="91" t="s">
        <v>70</v>
      </c>
    </row>
    <row r="79" spans="1:24">
      <c r="A79" s="14" t="s">
        <v>15</v>
      </c>
      <c r="B79" s="9" t="s">
        <v>16</v>
      </c>
      <c r="C79" s="16">
        <v>133</v>
      </c>
      <c r="D79" s="16">
        <v>209</v>
      </c>
      <c r="E79" s="16">
        <v>111.3</v>
      </c>
      <c r="F79" s="16">
        <v>1816</v>
      </c>
      <c r="G79" s="22">
        <v>8.3605</v>
      </c>
      <c r="H79" s="22">
        <v>8.3605</v>
      </c>
      <c r="I79" s="10">
        <v>10.274699999999999</v>
      </c>
      <c r="J79" s="9">
        <v>90</v>
      </c>
      <c r="K79" s="14">
        <v>90</v>
      </c>
      <c r="L79" s="14">
        <v>120</v>
      </c>
      <c r="M79" s="19">
        <v>2.1</v>
      </c>
      <c r="N79" s="8">
        <v>3.64</v>
      </c>
      <c r="O79" s="18">
        <v>71000000000</v>
      </c>
      <c r="P79" s="23">
        <v>120000000000</v>
      </c>
      <c r="Q79" s="14" t="s">
        <v>64</v>
      </c>
      <c r="R79" s="14">
        <v>70</v>
      </c>
      <c r="S79" s="28">
        <v>150</v>
      </c>
      <c r="T79" s="24">
        <v>0.4</v>
      </c>
      <c r="U79" s="17">
        <v>10.7</v>
      </c>
      <c r="V79" s="91" t="s">
        <v>72</v>
      </c>
    </row>
    <row r="80" spans="1:24" ht="29.25" customHeight="1">
      <c r="A80" s="9" t="s">
        <v>171</v>
      </c>
      <c r="B80" s="9" t="s">
        <v>17</v>
      </c>
      <c r="C80" s="16">
        <v>50</v>
      </c>
      <c r="D80" s="16">
        <v>207</v>
      </c>
      <c r="E80" s="16">
        <v>127</v>
      </c>
      <c r="F80" s="16">
        <v>5919</v>
      </c>
      <c r="G80" s="10">
        <v>8.8725000000000005</v>
      </c>
      <c r="H80" s="10">
        <v>8.8725000000000005</v>
      </c>
      <c r="I80" s="10">
        <v>12.547000000000001</v>
      </c>
      <c r="J80" s="27">
        <v>90</v>
      </c>
      <c r="K80" s="27">
        <v>90</v>
      </c>
      <c r="L80" s="27">
        <v>90</v>
      </c>
      <c r="M80" s="17">
        <v>1.512</v>
      </c>
      <c r="N80" s="8">
        <v>2.5999999999999998E-5</v>
      </c>
      <c r="O80" s="23">
        <v>54000000000</v>
      </c>
      <c r="P80" s="8">
        <v>120000000000</v>
      </c>
      <c r="Q80" s="14" t="s">
        <v>64</v>
      </c>
      <c r="R80" s="14">
        <v>50</v>
      </c>
      <c r="S80" s="17">
        <v>600</v>
      </c>
      <c r="T80" s="24">
        <v>10860</v>
      </c>
      <c r="U80" s="17">
        <v>69</v>
      </c>
      <c r="V80" s="94" t="s">
        <v>190</v>
      </c>
    </row>
    <row r="81" spans="1:22" ht="13.5" customHeight="1">
      <c r="A81" s="14" t="s">
        <v>20</v>
      </c>
      <c r="B81" s="9" t="s">
        <v>21</v>
      </c>
      <c r="C81" s="16">
        <v>44</v>
      </c>
      <c r="D81" s="16">
        <v>207</v>
      </c>
      <c r="E81" s="16">
        <v>80</v>
      </c>
      <c r="F81" s="16">
        <v>491</v>
      </c>
      <c r="G81" s="10">
        <v>5.9450000000000003</v>
      </c>
      <c r="H81" s="10">
        <v>5.9450000000000003</v>
      </c>
      <c r="I81" s="10">
        <v>5.9450000000000003</v>
      </c>
      <c r="J81" s="27">
        <v>90</v>
      </c>
      <c r="K81" s="27">
        <v>90</v>
      </c>
      <c r="L81" s="27">
        <v>90</v>
      </c>
      <c r="M81" s="17">
        <v>2.9</v>
      </c>
      <c r="N81" s="23">
        <v>2.4199999999999998E-3</v>
      </c>
      <c r="O81" s="18">
        <v>64000000</v>
      </c>
      <c r="P81" s="23">
        <v>3180000000</v>
      </c>
      <c r="Q81" s="14" t="s">
        <v>64</v>
      </c>
      <c r="R81" s="14">
        <v>120</v>
      </c>
      <c r="S81" s="28">
        <v>100</v>
      </c>
      <c r="T81" s="31">
        <v>520000</v>
      </c>
      <c r="U81" s="17">
        <v>55</v>
      </c>
      <c r="V81" s="92" t="s">
        <v>73</v>
      </c>
    </row>
    <row r="82" spans="1:22" ht="56.7" customHeight="1">
      <c r="A82" s="14" t="s">
        <v>23</v>
      </c>
      <c r="B82" s="9" t="s">
        <v>24</v>
      </c>
      <c r="C82" s="16">
        <v>60</v>
      </c>
      <c r="D82" s="16">
        <v>207</v>
      </c>
      <c r="E82" s="16">
        <v>80</v>
      </c>
      <c r="F82" s="16">
        <v>1541</v>
      </c>
      <c r="G82" s="22">
        <v>50.680999999999997</v>
      </c>
      <c r="H82" s="22">
        <v>8.4429999999999996</v>
      </c>
      <c r="I82" s="22">
        <v>8.4480000000000004</v>
      </c>
      <c r="J82" s="9">
        <v>90</v>
      </c>
      <c r="K82" s="9">
        <v>90</v>
      </c>
      <c r="L82" s="14">
        <v>90</v>
      </c>
      <c r="M82" s="14">
        <v>2.5499999999999998</v>
      </c>
      <c r="N82" s="23">
        <v>0.01</v>
      </c>
      <c r="O82" s="8">
        <v>45000000000</v>
      </c>
      <c r="P82" s="23">
        <v>120000000000</v>
      </c>
      <c r="Q82" s="14" t="s">
        <v>64</v>
      </c>
      <c r="R82" s="14">
        <v>70</v>
      </c>
      <c r="S82" s="17">
        <v>5</v>
      </c>
      <c r="T82" s="29">
        <v>6800</v>
      </c>
      <c r="U82" s="14">
        <v>5.5</v>
      </c>
      <c r="V82" s="91" t="s">
        <v>74</v>
      </c>
    </row>
    <row r="83" spans="1:22" ht="28.2" customHeight="1">
      <c r="A83" s="14" t="s">
        <v>15</v>
      </c>
      <c r="B83" s="9" t="s">
        <v>167</v>
      </c>
      <c r="C83" s="16">
        <v>133</v>
      </c>
      <c r="D83" s="16">
        <v>158.5</v>
      </c>
      <c r="E83" s="16">
        <v>80</v>
      </c>
      <c r="F83" s="16">
        <v>1063</v>
      </c>
      <c r="G83" s="22">
        <v>7.96</v>
      </c>
      <c r="H83" s="10">
        <v>7.96</v>
      </c>
      <c r="I83" s="22">
        <v>9.84</v>
      </c>
      <c r="J83" s="27">
        <v>90</v>
      </c>
      <c r="K83" s="27">
        <v>90</v>
      </c>
      <c r="L83" s="27">
        <v>120</v>
      </c>
      <c r="M83" s="19">
        <v>2.1</v>
      </c>
      <c r="N83" s="8">
        <v>8.5000000000000006E-5</v>
      </c>
      <c r="O83" s="8">
        <v>800000000000</v>
      </c>
      <c r="P83" s="23">
        <v>120000000000</v>
      </c>
      <c r="Q83" s="14" t="s">
        <v>64</v>
      </c>
      <c r="R83" s="14">
        <v>120</v>
      </c>
      <c r="S83" s="28">
        <v>100</v>
      </c>
      <c r="T83" s="24">
        <v>114</v>
      </c>
      <c r="U83" s="14">
        <v>0.2</v>
      </c>
      <c r="V83" s="91" t="s">
        <v>75</v>
      </c>
    </row>
    <row r="84" spans="1:22" ht="63" customHeight="1">
      <c r="A84" s="14" t="s">
        <v>7</v>
      </c>
      <c r="B84" s="9" t="s">
        <v>25</v>
      </c>
      <c r="C84" s="9">
        <v>243.5</v>
      </c>
      <c r="D84" s="9">
        <v>158.5</v>
      </c>
      <c r="E84" s="9">
        <v>127</v>
      </c>
      <c r="F84" s="9">
        <v>1820</v>
      </c>
      <c r="G84" s="22">
        <v>24.465699999999998</v>
      </c>
      <c r="H84" s="22">
        <v>9.2749000000000006</v>
      </c>
      <c r="I84" s="22">
        <v>9.3292999999999999</v>
      </c>
      <c r="J84" s="14">
        <v>24.882200000000001</v>
      </c>
      <c r="K84" s="14">
        <v>9.5503999999999998</v>
      </c>
      <c r="L84" s="14">
        <v>9.3817000000000004</v>
      </c>
      <c r="M84" s="17">
        <v>2.4889999999999999</v>
      </c>
      <c r="N84" s="8">
        <v>1.0000000000000001E-5</v>
      </c>
      <c r="O84" s="23">
        <v>800000000000</v>
      </c>
      <c r="P84" s="23">
        <v>120000000000</v>
      </c>
      <c r="Q84" s="14" t="s">
        <v>76</v>
      </c>
      <c r="R84" s="14">
        <v>40</v>
      </c>
      <c r="S84" s="28">
        <v>1250</v>
      </c>
      <c r="T84" s="32">
        <v>188</v>
      </c>
      <c r="U84" s="14">
        <v>3.13</v>
      </c>
      <c r="V84" s="91" t="s">
        <v>77</v>
      </c>
    </row>
    <row r="85" spans="1:22" ht="14.1" customHeight="1">
      <c r="A85" s="14" t="s">
        <v>18</v>
      </c>
      <c r="B85" s="33" t="s">
        <v>26</v>
      </c>
      <c r="C85" s="16">
        <v>38.5</v>
      </c>
      <c r="D85" s="16">
        <v>207</v>
      </c>
      <c r="E85" s="16">
        <v>127</v>
      </c>
      <c r="F85" s="16">
        <v>626.5</v>
      </c>
      <c r="G85" s="27">
        <v>6.35</v>
      </c>
      <c r="H85" s="27">
        <v>6.35</v>
      </c>
      <c r="I85" s="27">
        <v>6.35</v>
      </c>
      <c r="J85" s="9">
        <v>90</v>
      </c>
      <c r="K85" s="9">
        <v>90</v>
      </c>
      <c r="L85" s="9">
        <v>90</v>
      </c>
      <c r="M85" s="17">
        <v>1.5</v>
      </c>
      <c r="N85" s="8">
        <v>2.8999999999999998E-3</v>
      </c>
      <c r="O85" s="23">
        <v>130000000</v>
      </c>
      <c r="P85" s="23">
        <v>5650000000</v>
      </c>
      <c r="Q85" s="14" t="s">
        <v>64</v>
      </c>
      <c r="R85" s="14">
        <v>50</v>
      </c>
      <c r="S85" s="17">
        <v>0</v>
      </c>
      <c r="T85" s="29">
        <v>87000</v>
      </c>
      <c r="U85" s="14">
        <v>2.1700000000000001E-3</v>
      </c>
      <c r="V85" s="95" t="s">
        <v>196</v>
      </c>
    </row>
    <row r="86" spans="1:22" ht="14.1" customHeight="1">
      <c r="A86" s="14" t="s">
        <v>181</v>
      </c>
      <c r="B86" s="33" t="s">
        <v>180</v>
      </c>
      <c r="C86" s="16">
        <v>53</v>
      </c>
      <c r="D86" s="16">
        <v>207</v>
      </c>
      <c r="E86" s="16">
        <v>127</v>
      </c>
      <c r="F86" s="16">
        <v>2103</v>
      </c>
      <c r="G86" s="10">
        <v>8.8725000000000005</v>
      </c>
      <c r="H86" s="10">
        <v>8.8725000000000005</v>
      </c>
      <c r="I86" s="10">
        <v>12.547000000000001</v>
      </c>
      <c r="J86" s="27">
        <v>90</v>
      </c>
      <c r="K86" s="27">
        <v>90</v>
      </c>
      <c r="L86" s="27">
        <v>90</v>
      </c>
      <c r="M86" s="17">
        <v>1.62</v>
      </c>
      <c r="N86" s="23">
        <v>2.5999999999999998E-5</v>
      </c>
      <c r="O86" s="18">
        <v>1000000000</v>
      </c>
      <c r="P86" s="23">
        <v>74600000000</v>
      </c>
      <c r="Q86" s="14" t="s">
        <v>64</v>
      </c>
      <c r="R86" s="14">
        <v>50</v>
      </c>
      <c r="S86" s="17">
        <v>5</v>
      </c>
      <c r="T86" s="24">
        <v>1214</v>
      </c>
      <c r="U86" s="28">
        <v>2.5</v>
      </c>
      <c r="V86" s="95" t="s">
        <v>182</v>
      </c>
    </row>
    <row r="87" spans="1:22" ht="44.7" customHeight="1">
      <c r="A87" s="14" t="s">
        <v>29</v>
      </c>
      <c r="B87" s="9" t="s">
        <v>316</v>
      </c>
      <c r="C87" s="9">
        <v>59</v>
      </c>
      <c r="D87" s="9">
        <v>158.5</v>
      </c>
      <c r="E87" s="9">
        <v>65</v>
      </c>
      <c r="F87" s="9">
        <v>1334</v>
      </c>
      <c r="G87" s="7">
        <v>8.7312999999999992</v>
      </c>
      <c r="H87" s="7">
        <v>7.9835000000000003</v>
      </c>
      <c r="I87" s="7">
        <v>25.446999999999999</v>
      </c>
      <c r="J87" s="9">
        <v>90</v>
      </c>
      <c r="K87" s="9">
        <v>90.646000000000001</v>
      </c>
      <c r="L87" s="9">
        <v>90</v>
      </c>
      <c r="M87" s="19">
        <v>2.57</v>
      </c>
      <c r="N87" s="8">
        <v>1E-3</v>
      </c>
      <c r="O87" s="19">
        <v>100000000000</v>
      </c>
      <c r="P87" s="23">
        <v>10000000000</v>
      </c>
      <c r="Q87" s="14" t="s">
        <v>64</v>
      </c>
      <c r="R87" s="14">
        <v>70</v>
      </c>
      <c r="S87" s="17">
        <v>5</v>
      </c>
      <c r="T87" s="24">
        <v>0.8</v>
      </c>
      <c r="U87" s="28">
        <v>2</v>
      </c>
      <c r="V87" s="91" t="s">
        <v>184</v>
      </c>
    </row>
    <row r="88" spans="1:22">
      <c r="A88" s="9" t="s">
        <v>176</v>
      </c>
      <c r="B88" s="9" t="s">
        <v>175</v>
      </c>
      <c r="C88" s="9">
        <v>94</v>
      </c>
      <c r="D88" s="9">
        <v>158.5</v>
      </c>
      <c r="E88" s="9">
        <v>80</v>
      </c>
      <c r="F88" s="9">
        <v>1159</v>
      </c>
      <c r="G88" s="7">
        <v>8.0847999999999995</v>
      </c>
      <c r="H88" s="7">
        <v>7.9801000000000002</v>
      </c>
      <c r="I88" s="7">
        <v>19.842199999999998</v>
      </c>
      <c r="J88" s="9">
        <v>90</v>
      </c>
      <c r="K88" s="17">
        <v>101.755</v>
      </c>
      <c r="L88" s="9">
        <v>90</v>
      </c>
      <c r="M88" s="17">
        <v>2.38</v>
      </c>
      <c r="N88" s="8">
        <v>1.2099999999999999E-3</v>
      </c>
      <c r="O88" s="18">
        <v>150000000000</v>
      </c>
      <c r="P88" s="8">
        <v>42000000000</v>
      </c>
      <c r="Q88" s="14" t="s">
        <v>76</v>
      </c>
      <c r="R88" s="14">
        <v>70</v>
      </c>
      <c r="S88" s="17">
        <v>5</v>
      </c>
      <c r="T88" s="24">
        <v>4.2</v>
      </c>
      <c r="U88" s="17">
        <v>70.5</v>
      </c>
      <c r="V88" s="91" t="s">
        <v>127</v>
      </c>
    </row>
    <row r="89" spans="1:22">
      <c r="A89" s="14" t="s">
        <v>18</v>
      </c>
      <c r="B89" s="9" t="s">
        <v>177</v>
      </c>
      <c r="C89" s="9">
        <v>39</v>
      </c>
      <c r="D89" s="16">
        <v>207</v>
      </c>
      <c r="E89" s="16">
        <v>127</v>
      </c>
      <c r="F89" s="9">
        <v>666</v>
      </c>
      <c r="G89" s="26">
        <v>8.8725000000000005</v>
      </c>
      <c r="H89" s="26">
        <v>8.8725000000000005</v>
      </c>
      <c r="I89" s="26">
        <v>12.547000000000001</v>
      </c>
      <c r="J89" s="35">
        <v>90</v>
      </c>
      <c r="K89" s="35">
        <v>90</v>
      </c>
      <c r="L89" s="35">
        <v>90</v>
      </c>
      <c r="M89" s="19">
        <v>1.55</v>
      </c>
      <c r="N89" s="8">
        <v>7.1999999999999998E-3</v>
      </c>
      <c r="O89" s="18">
        <v>30400000</v>
      </c>
      <c r="P89" s="8">
        <v>1370000000</v>
      </c>
      <c r="Q89" s="14" t="s">
        <v>64</v>
      </c>
      <c r="R89" s="14">
        <v>40</v>
      </c>
      <c r="S89" s="17">
        <v>4.2</v>
      </c>
      <c r="T89" s="29">
        <v>11800</v>
      </c>
      <c r="U89" s="17">
        <v>16.899999999999999</v>
      </c>
      <c r="V89" s="96" t="s">
        <v>81</v>
      </c>
    </row>
    <row r="90" spans="1:22">
      <c r="A90" s="14" t="s">
        <v>18</v>
      </c>
      <c r="B90" s="9" t="s">
        <v>32</v>
      </c>
      <c r="C90" s="16">
        <v>40</v>
      </c>
      <c r="D90" s="16">
        <v>207</v>
      </c>
      <c r="E90" s="16">
        <v>127</v>
      </c>
      <c r="F90" s="16">
        <v>668</v>
      </c>
      <c r="G90" s="26">
        <v>8.8725000000000005</v>
      </c>
      <c r="H90" s="26">
        <v>8.8725000000000005</v>
      </c>
      <c r="I90" s="26">
        <v>12.547000000000001</v>
      </c>
      <c r="J90" s="35">
        <v>90</v>
      </c>
      <c r="K90" s="35">
        <v>90</v>
      </c>
      <c r="L90" s="35">
        <v>90</v>
      </c>
      <c r="M90" s="19">
        <v>1.66</v>
      </c>
      <c r="N90" s="8">
        <v>1.2500000000000001E-2</v>
      </c>
      <c r="O90" s="18">
        <v>205000000</v>
      </c>
      <c r="P90" s="18">
        <v>97400000</v>
      </c>
      <c r="Q90" s="14" t="s">
        <v>64</v>
      </c>
      <c r="R90" s="14">
        <v>40</v>
      </c>
      <c r="S90" s="17">
        <v>4.2</v>
      </c>
      <c r="T90" s="29">
        <v>23000</v>
      </c>
      <c r="U90" s="17">
        <v>16.899999999999999</v>
      </c>
      <c r="V90" s="96" t="s">
        <v>81</v>
      </c>
    </row>
    <row r="91" spans="1:22" ht="41.1" customHeight="1">
      <c r="A91" s="14" t="s">
        <v>176</v>
      </c>
      <c r="B91" s="9" t="s">
        <v>33</v>
      </c>
      <c r="C91" s="9">
        <v>104</v>
      </c>
      <c r="D91" s="16">
        <v>207</v>
      </c>
      <c r="E91" s="16">
        <v>80</v>
      </c>
      <c r="F91" s="9">
        <v>1286</v>
      </c>
      <c r="G91" s="7">
        <v>40.629600000000003</v>
      </c>
      <c r="H91" s="7">
        <v>8.2882999999999996</v>
      </c>
      <c r="I91" s="7">
        <v>8.2882999999999996</v>
      </c>
      <c r="J91" s="9">
        <v>90</v>
      </c>
      <c r="K91" s="9">
        <v>90</v>
      </c>
      <c r="L91" s="9">
        <v>90</v>
      </c>
      <c r="M91" s="14">
        <v>2.5099999999999998</v>
      </c>
      <c r="N91" s="8">
        <v>3.2000000000000002E-3</v>
      </c>
      <c r="O91" s="36">
        <v>1000000000</v>
      </c>
      <c r="P91" s="36">
        <v>10000000000</v>
      </c>
      <c r="Q91" s="14" t="s">
        <v>64</v>
      </c>
      <c r="R91" s="14">
        <v>80</v>
      </c>
      <c r="S91" s="17">
        <v>0</v>
      </c>
      <c r="T91" s="24">
        <v>410</v>
      </c>
      <c r="U91" s="28">
        <v>0.5</v>
      </c>
      <c r="V91" s="110" t="s">
        <v>178</v>
      </c>
    </row>
    <row r="92" spans="1:22" ht="14.1" customHeight="1">
      <c r="A92" s="14" t="s">
        <v>7</v>
      </c>
      <c r="B92" s="9" t="s">
        <v>317</v>
      </c>
      <c r="C92" s="16">
        <v>90</v>
      </c>
      <c r="D92" s="16">
        <v>207</v>
      </c>
      <c r="E92" s="16">
        <v>80</v>
      </c>
      <c r="F92" s="16">
        <v>707</v>
      </c>
      <c r="G92" s="7">
        <v>8.1684999999999999</v>
      </c>
      <c r="H92" s="7">
        <v>29.085000000000001</v>
      </c>
      <c r="I92" s="7">
        <v>8.1690000000000005</v>
      </c>
      <c r="J92" s="9">
        <v>90</v>
      </c>
      <c r="K92" s="9">
        <v>90</v>
      </c>
      <c r="L92" s="9">
        <v>90</v>
      </c>
      <c r="M92" s="17">
        <v>2.95</v>
      </c>
      <c r="N92" s="8">
        <v>8.3999999999999995E-5</v>
      </c>
      <c r="O92" s="36">
        <v>100000000000</v>
      </c>
      <c r="P92" s="36">
        <v>10000000000</v>
      </c>
      <c r="Q92" s="14" t="s">
        <v>64</v>
      </c>
      <c r="R92" s="14">
        <v>80</v>
      </c>
      <c r="S92" s="17">
        <v>30</v>
      </c>
      <c r="T92" s="24">
        <v>58</v>
      </c>
      <c r="U92" s="28">
        <v>0.15</v>
      </c>
      <c r="V92" s="111"/>
    </row>
    <row r="93" spans="1:22" ht="36" customHeight="1">
      <c r="A93" s="14" t="s">
        <v>7</v>
      </c>
      <c r="B93" s="9" t="s">
        <v>34</v>
      </c>
      <c r="C93" s="9">
        <v>108</v>
      </c>
      <c r="D93" s="16">
        <v>207</v>
      </c>
      <c r="E93" s="16">
        <v>127</v>
      </c>
      <c r="F93" s="9">
        <v>931</v>
      </c>
      <c r="G93" s="7">
        <v>9.13246</v>
      </c>
      <c r="H93" s="7">
        <v>8.6548999999999996</v>
      </c>
      <c r="I93" s="7">
        <v>28.5367</v>
      </c>
      <c r="J93" s="9">
        <v>90</v>
      </c>
      <c r="K93" s="9">
        <v>90</v>
      </c>
      <c r="L93" s="9">
        <v>90</v>
      </c>
      <c r="M93" s="17">
        <v>2.0099999999999998</v>
      </c>
      <c r="N93" s="8">
        <v>8.0499999999999999E-3</v>
      </c>
      <c r="O93" s="36">
        <v>100000000000</v>
      </c>
      <c r="P93" s="8">
        <v>339000000</v>
      </c>
      <c r="Q93" s="14" t="s">
        <v>186</v>
      </c>
      <c r="R93" s="14">
        <v>40</v>
      </c>
      <c r="S93" s="17">
        <v>1250</v>
      </c>
      <c r="T93" s="24">
        <v>283</v>
      </c>
      <c r="U93" s="17">
        <v>2.13</v>
      </c>
      <c r="V93" s="91" t="s">
        <v>82</v>
      </c>
    </row>
    <row r="94" spans="1:22">
      <c r="A94" s="14" t="s">
        <v>7</v>
      </c>
      <c r="B94" s="9" t="s">
        <v>35</v>
      </c>
      <c r="C94" s="16">
        <v>85.5</v>
      </c>
      <c r="D94" s="16">
        <v>142</v>
      </c>
      <c r="E94" s="16">
        <v>80</v>
      </c>
      <c r="F94" s="16">
        <v>1487</v>
      </c>
      <c r="G94" s="7">
        <v>8.4426000000000005</v>
      </c>
      <c r="H94" s="7">
        <v>12.914899999999999</v>
      </c>
      <c r="I94" s="7">
        <v>9.9572000000000003</v>
      </c>
      <c r="J94" s="9">
        <v>90</v>
      </c>
      <c r="K94" s="9">
        <v>90</v>
      </c>
      <c r="L94" s="9">
        <v>90</v>
      </c>
      <c r="M94" s="14">
        <v>2.68</v>
      </c>
      <c r="N94" s="36">
        <v>1E-4</v>
      </c>
      <c r="O94" s="8">
        <v>2590000000</v>
      </c>
      <c r="P94" s="8">
        <v>33300000000</v>
      </c>
      <c r="Q94" s="14" t="s">
        <v>64</v>
      </c>
      <c r="R94" s="14">
        <v>8</v>
      </c>
      <c r="S94" s="17">
        <v>24</v>
      </c>
      <c r="T94" s="24">
        <v>222.03</v>
      </c>
      <c r="U94" s="17">
        <v>0.01</v>
      </c>
      <c r="V94" s="91" t="s">
        <v>83</v>
      </c>
    </row>
    <row r="95" spans="1:22" ht="49.2" customHeight="1">
      <c r="A95" s="14" t="s">
        <v>18</v>
      </c>
      <c r="B95" s="9" t="s">
        <v>36</v>
      </c>
      <c r="C95" s="9">
        <v>110</v>
      </c>
      <c r="D95" s="16">
        <v>207</v>
      </c>
      <c r="E95" s="16">
        <v>127</v>
      </c>
      <c r="F95" s="9">
        <v>1286</v>
      </c>
      <c r="G95" s="7">
        <v>16.369800000000001</v>
      </c>
      <c r="H95" s="7">
        <v>25.637599999999999</v>
      </c>
      <c r="I95" s="7">
        <v>10.0435</v>
      </c>
      <c r="J95" s="9">
        <v>90</v>
      </c>
      <c r="K95" s="9">
        <v>93.197999999999993</v>
      </c>
      <c r="L95" s="9">
        <v>90</v>
      </c>
      <c r="M95" s="14">
        <v>2.0499999999999998</v>
      </c>
      <c r="N95" s="36">
        <v>1.2E-4</v>
      </c>
      <c r="O95" s="8">
        <v>600000000</v>
      </c>
      <c r="P95" s="36">
        <v>10000000000</v>
      </c>
      <c r="Q95" s="14" t="s">
        <v>76</v>
      </c>
      <c r="R95" s="14">
        <v>50</v>
      </c>
      <c r="S95" s="28">
        <v>1000</v>
      </c>
      <c r="T95" s="24">
        <v>207</v>
      </c>
      <c r="U95" s="28">
        <v>25</v>
      </c>
      <c r="V95" s="91" t="s">
        <v>185</v>
      </c>
    </row>
    <row r="96" spans="1:22" ht="52.2" customHeight="1">
      <c r="A96" s="14" t="s">
        <v>31</v>
      </c>
      <c r="B96" s="33" t="s">
        <v>38</v>
      </c>
      <c r="C96" s="9">
        <v>111.5</v>
      </c>
      <c r="D96" s="16">
        <v>207</v>
      </c>
      <c r="E96" s="16">
        <v>80</v>
      </c>
      <c r="F96" s="9">
        <v>1197</v>
      </c>
      <c r="G96" s="7">
        <v>8.0488999999999997</v>
      </c>
      <c r="H96" s="7">
        <v>31.099</v>
      </c>
      <c r="I96" s="7">
        <v>8.3795999999999999</v>
      </c>
      <c r="J96" s="9">
        <v>90</v>
      </c>
      <c r="K96" s="9">
        <v>90.441000000000003</v>
      </c>
      <c r="L96" s="9">
        <v>90</v>
      </c>
      <c r="M96" s="17">
        <v>2.76</v>
      </c>
      <c r="N96" s="8">
        <v>2.3300000000000001E-5</v>
      </c>
      <c r="O96" s="8">
        <v>43500000000</v>
      </c>
      <c r="P96" s="36">
        <v>10000000000</v>
      </c>
      <c r="Q96" s="14" t="s">
        <v>64</v>
      </c>
      <c r="R96" s="14">
        <v>50</v>
      </c>
      <c r="S96" s="14">
        <v>42.9</v>
      </c>
      <c r="T96" s="24">
        <v>725.5</v>
      </c>
      <c r="U96" s="28">
        <v>0.5</v>
      </c>
      <c r="V96" s="91" t="s">
        <v>85</v>
      </c>
    </row>
    <row r="97" spans="1:22">
      <c r="A97" s="14" t="s">
        <v>39</v>
      </c>
      <c r="B97" s="9" t="s">
        <v>318</v>
      </c>
      <c r="C97" s="16">
        <v>114</v>
      </c>
      <c r="D97" s="16">
        <v>18</v>
      </c>
      <c r="E97" s="16">
        <v>35.5</v>
      </c>
      <c r="F97" s="16">
        <v>238.5</v>
      </c>
      <c r="G97" s="7">
        <v>16.196000000000002</v>
      </c>
      <c r="H97" s="7">
        <v>16.196000000000002</v>
      </c>
      <c r="I97" s="7">
        <v>22.443000000000001</v>
      </c>
      <c r="J97" s="9">
        <v>90</v>
      </c>
      <c r="K97" s="9">
        <v>90</v>
      </c>
      <c r="L97" s="9">
        <v>120</v>
      </c>
      <c r="M97" s="17">
        <v>5.89</v>
      </c>
      <c r="N97" s="8">
        <v>2.8E-3</v>
      </c>
      <c r="O97" s="8">
        <v>4730000000</v>
      </c>
      <c r="P97" s="18">
        <v>1000000000</v>
      </c>
      <c r="Q97" s="14" t="s">
        <v>76</v>
      </c>
      <c r="R97" s="14">
        <v>40</v>
      </c>
      <c r="S97" s="17">
        <v>1250</v>
      </c>
      <c r="T97" s="24">
        <v>165</v>
      </c>
      <c r="U97" s="28">
        <v>0.5</v>
      </c>
      <c r="V97" s="110" t="s">
        <v>214</v>
      </c>
    </row>
    <row r="98" spans="1:22" ht="33" customHeight="1">
      <c r="A98" s="14" t="s">
        <v>18</v>
      </c>
      <c r="B98" s="9" t="s">
        <v>319</v>
      </c>
      <c r="C98" s="9">
        <v>114</v>
      </c>
      <c r="D98" s="16">
        <v>18</v>
      </c>
      <c r="E98" s="16">
        <v>80</v>
      </c>
      <c r="F98" s="9">
        <v>372</v>
      </c>
      <c r="G98" s="7">
        <v>9.5719999999999992</v>
      </c>
      <c r="H98" s="7">
        <v>9.5719999999999992</v>
      </c>
      <c r="I98" s="7">
        <v>23.204000000000001</v>
      </c>
      <c r="J98" s="9">
        <v>90</v>
      </c>
      <c r="K98" s="9">
        <v>90</v>
      </c>
      <c r="L98" s="9">
        <v>120</v>
      </c>
      <c r="M98" s="17">
        <v>5.25</v>
      </c>
      <c r="N98" s="8">
        <v>1.1999999999999999E-3</v>
      </c>
      <c r="O98" s="8">
        <v>983000000</v>
      </c>
      <c r="P98" s="18">
        <v>1000000000</v>
      </c>
      <c r="Q98" s="14" t="s">
        <v>76</v>
      </c>
      <c r="R98" s="14">
        <v>40</v>
      </c>
      <c r="S98" s="17">
        <v>1250</v>
      </c>
      <c r="T98" s="24">
        <v>176</v>
      </c>
      <c r="U98" s="17">
        <v>2.68</v>
      </c>
      <c r="V98" s="111"/>
    </row>
    <row r="99" spans="1:22" ht="46.5" customHeight="1">
      <c r="A99" s="14" t="s">
        <v>39</v>
      </c>
      <c r="B99" s="9" t="s">
        <v>320</v>
      </c>
      <c r="C99" s="16">
        <v>114</v>
      </c>
      <c r="D99" s="16">
        <v>18</v>
      </c>
      <c r="E99" s="16">
        <v>127</v>
      </c>
      <c r="F99" s="16">
        <v>513</v>
      </c>
      <c r="G99" s="7">
        <v>9.6618999999999993</v>
      </c>
      <c r="H99" s="7">
        <v>9.6618999999999993</v>
      </c>
      <c r="I99" s="7">
        <v>8.1593999999999998</v>
      </c>
      <c r="J99" s="9">
        <v>90</v>
      </c>
      <c r="K99" s="9">
        <v>90</v>
      </c>
      <c r="L99" s="9">
        <v>120</v>
      </c>
      <c r="M99" s="17">
        <v>4.71</v>
      </c>
      <c r="N99" s="8">
        <v>3.2000000000000002E-3</v>
      </c>
      <c r="O99" s="8">
        <v>931000000</v>
      </c>
      <c r="P99" s="8">
        <v>19100000000</v>
      </c>
      <c r="Q99" s="14" t="s">
        <v>76</v>
      </c>
      <c r="R99" s="14">
        <v>40</v>
      </c>
      <c r="S99" s="17">
        <v>1250</v>
      </c>
      <c r="T99" s="24">
        <v>567</v>
      </c>
      <c r="U99" s="28">
        <v>2.68</v>
      </c>
      <c r="V99" s="111"/>
    </row>
    <row r="100" spans="1:22">
      <c r="A100" s="14" t="s">
        <v>41</v>
      </c>
      <c r="B100" s="9" t="s">
        <v>321</v>
      </c>
      <c r="C100" s="16">
        <v>133</v>
      </c>
      <c r="D100" s="16">
        <v>207</v>
      </c>
      <c r="E100" s="16">
        <v>111</v>
      </c>
      <c r="F100" s="16">
        <v>674</v>
      </c>
      <c r="G100" s="7">
        <v>6.4</v>
      </c>
      <c r="H100" s="7">
        <v>6.4</v>
      </c>
      <c r="I100" s="7">
        <v>5.97</v>
      </c>
      <c r="J100" s="9">
        <v>90</v>
      </c>
      <c r="K100" s="9">
        <v>90</v>
      </c>
      <c r="L100" s="9">
        <v>90</v>
      </c>
      <c r="M100" s="14">
        <v>1.92</v>
      </c>
      <c r="N100" s="8">
        <v>5.0000000000000001E-3</v>
      </c>
      <c r="O100" s="8">
        <v>57000000000</v>
      </c>
      <c r="P100" s="8">
        <v>67100000000000</v>
      </c>
      <c r="Q100" s="17" t="s">
        <v>64</v>
      </c>
      <c r="R100" s="14">
        <v>50</v>
      </c>
      <c r="S100" s="17">
        <v>0.125</v>
      </c>
      <c r="T100" s="29">
        <v>148000</v>
      </c>
      <c r="U100" s="17">
        <v>0.28000000000000003</v>
      </c>
      <c r="V100" s="91" t="s">
        <v>88</v>
      </c>
    </row>
    <row r="101" spans="1:22">
      <c r="A101" s="14" t="s">
        <v>18</v>
      </c>
      <c r="B101" s="9" t="s">
        <v>44</v>
      </c>
      <c r="C101" s="16">
        <v>32</v>
      </c>
      <c r="D101" s="16">
        <v>207</v>
      </c>
      <c r="E101" s="16">
        <v>80</v>
      </c>
      <c r="F101" s="16">
        <v>479</v>
      </c>
      <c r="G101" s="10">
        <v>5.9170999999999996</v>
      </c>
      <c r="H101" s="10">
        <v>5.9170999999999996</v>
      </c>
      <c r="I101" s="10">
        <v>5.9170999999999996</v>
      </c>
      <c r="J101" s="27">
        <v>90</v>
      </c>
      <c r="K101" s="27">
        <v>90</v>
      </c>
      <c r="L101" s="27">
        <v>90</v>
      </c>
      <c r="M101" s="19">
        <v>2.2999999999999998</v>
      </c>
      <c r="N101" s="8">
        <v>4.0000000000000001E-3</v>
      </c>
      <c r="O101" s="23">
        <v>10000000</v>
      </c>
      <c r="P101" s="18">
        <v>100000000</v>
      </c>
      <c r="Q101" s="17" t="s">
        <v>64</v>
      </c>
      <c r="R101" s="14">
        <v>8</v>
      </c>
      <c r="S101" s="17">
        <v>3.5</v>
      </c>
      <c r="T101" s="29">
        <v>21000</v>
      </c>
      <c r="U101" s="17">
        <v>9.5</v>
      </c>
      <c r="V101" s="91" t="s">
        <v>93</v>
      </c>
    </row>
    <row r="102" spans="1:22" ht="14.1" customHeight="1">
      <c r="A102" s="14" t="s">
        <v>45</v>
      </c>
      <c r="B102" s="9" t="s">
        <v>46</v>
      </c>
      <c r="C102" s="16">
        <v>32</v>
      </c>
      <c r="D102" s="16">
        <v>207</v>
      </c>
      <c r="E102" s="9">
        <v>118</v>
      </c>
      <c r="F102" s="9">
        <v>592</v>
      </c>
      <c r="G102" s="10">
        <v>8.8725000000000005</v>
      </c>
      <c r="H102" s="10">
        <v>8.8725000000000005</v>
      </c>
      <c r="I102" s="10">
        <v>12.547000000000001</v>
      </c>
      <c r="J102" s="27">
        <v>90</v>
      </c>
      <c r="K102" s="27">
        <v>90</v>
      </c>
      <c r="L102" s="27">
        <v>90</v>
      </c>
      <c r="M102" s="17">
        <v>1.52</v>
      </c>
      <c r="N102" s="8">
        <v>1.5E-3</v>
      </c>
      <c r="O102" s="23">
        <v>100000000</v>
      </c>
      <c r="P102" s="36">
        <v>1000000000000000</v>
      </c>
      <c r="Q102" s="14" t="s">
        <v>64</v>
      </c>
      <c r="R102" s="14">
        <v>60</v>
      </c>
      <c r="S102" s="17">
        <v>50</v>
      </c>
      <c r="T102" s="24">
        <v>8696</v>
      </c>
      <c r="U102" s="28">
        <v>5</v>
      </c>
      <c r="V102" s="91" t="s">
        <v>94</v>
      </c>
    </row>
    <row r="103" spans="1:22" ht="42" customHeight="1">
      <c r="A103" s="14" t="s">
        <v>47</v>
      </c>
      <c r="B103" s="9" t="s">
        <v>48</v>
      </c>
      <c r="C103" s="16">
        <v>58</v>
      </c>
      <c r="D103" s="9">
        <v>209</v>
      </c>
      <c r="E103" s="9">
        <v>127</v>
      </c>
      <c r="F103" s="16">
        <v>646</v>
      </c>
      <c r="G103" s="27">
        <v>6.35</v>
      </c>
      <c r="H103" s="27">
        <v>6.35</v>
      </c>
      <c r="I103" s="27">
        <v>6.35</v>
      </c>
      <c r="J103" s="27">
        <v>90</v>
      </c>
      <c r="K103" s="27">
        <v>90</v>
      </c>
      <c r="L103" s="27">
        <v>90</v>
      </c>
      <c r="M103" s="14">
        <v>1.55</v>
      </c>
      <c r="N103" s="8">
        <v>8.4700000000000001E-3</v>
      </c>
      <c r="O103" s="23">
        <v>90000000</v>
      </c>
      <c r="P103" s="36">
        <v>200000000000000</v>
      </c>
      <c r="Q103" s="17" t="s">
        <v>96</v>
      </c>
      <c r="R103" s="14">
        <v>60</v>
      </c>
      <c r="S103" s="17">
        <v>50</v>
      </c>
      <c r="T103" s="24">
        <v>1629</v>
      </c>
      <c r="U103" s="17">
        <v>1.38E-2</v>
      </c>
      <c r="V103" s="110" t="s">
        <v>97</v>
      </c>
    </row>
    <row r="104" spans="1:22" ht="24" customHeight="1">
      <c r="A104" s="14" t="s">
        <v>41</v>
      </c>
      <c r="B104" s="9" t="s">
        <v>49</v>
      </c>
      <c r="C104" s="16">
        <v>58</v>
      </c>
      <c r="D104" s="9">
        <v>209</v>
      </c>
      <c r="E104" s="9">
        <v>127</v>
      </c>
      <c r="F104" s="16">
        <v>646</v>
      </c>
      <c r="G104" s="27">
        <v>6.4074600000000004</v>
      </c>
      <c r="H104" s="27">
        <v>6.4074600000000004</v>
      </c>
      <c r="I104" s="27">
        <v>6.4074600000000004</v>
      </c>
      <c r="J104" s="27">
        <v>90</v>
      </c>
      <c r="K104" s="27">
        <v>90</v>
      </c>
      <c r="L104" s="27">
        <v>90</v>
      </c>
      <c r="M104" s="14">
        <v>1.55</v>
      </c>
      <c r="N104" s="8">
        <v>9.0600000000000003E-3</v>
      </c>
      <c r="O104" s="8">
        <v>60000000</v>
      </c>
      <c r="P104" s="36">
        <v>191000000000000</v>
      </c>
      <c r="Q104" s="17" t="s">
        <v>96</v>
      </c>
      <c r="R104" s="14">
        <v>60</v>
      </c>
      <c r="S104" s="17">
        <v>50</v>
      </c>
      <c r="T104" s="24">
        <v>1985</v>
      </c>
      <c r="U104" s="17">
        <v>0.05</v>
      </c>
      <c r="V104" s="111"/>
    </row>
    <row r="105" spans="1:22" ht="27.75" customHeight="1">
      <c r="A105" s="14" t="s">
        <v>173</v>
      </c>
      <c r="B105" s="9" t="s">
        <v>51</v>
      </c>
      <c r="C105" s="16">
        <v>52</v>
      </c>
      <c r="D105" s="16">
        <v>207</v>
      </c>
      <c r="E105" s="16">
        <v>119</v>
      </c>
      <c r="F105" s="16">
        <v>668</v>
      </c>
      <c r="G105" s="27">
        <v>6.4074600000000004</v>
      </c>
      <c r="H105" s="27">
        <v>6.4074600000000004</v>
      </c>
      <c r="I105" s="27">
        <v>6.4074600000000004</v>
      </c>
      <c r="J105" s="27">
        <v>90</v>
      </c>
      <c r="K105" s="27">
        <v>90</v>
      </c>
      <c r="L105" s="27">
        <v>90</v>
      </c>
      <c r="M105" s="19">
        <v>1.54</v>
      </c>
      <c r="N105" s="8">
        <v>1.9999999999999999E-6</v>
      </c>
      <c r="O105" s="23">
        <v>300000000</v>
      </c>
      <c r="P105" s="36">
        <v>191000000000000</v>
      </c>
      <c r="Q105" s="17" t="s">
        <v>96</v>
      </c>
      <c r="R105" s="14">
        <v>70</v>
      </c>
      <c r="S105" s="17">
        <v>2.7E-2</v>
      </c>
      <c r="T105" s="24">
        <v>59.9</v>
      </c>
      <c r="U105" s="17">
        <v>12</v>
      </c>
      <c r="V105" s="91" t="s">
        <v>101</v>
      </c>
    </row>
    <row r="106" spans="1:22" ht="39" customHeight="1">
      <c r="A106" s="14" t="s">
        <v>18</v>
      </c>
      <c r="B106" s="9" t="s">
        <v>53</v>
      </c>
      <c r="C106" s="9">
        <v>133</v>
      </c>
      <c r="D106" s="16">
        <v>207</v>
      </c>
      <c r="E106" s="16">
        <v>80</v>
      </c>
      <c r="F106" s="16">
        <v>580</v>
      </c>
      <c r="G106" s="7">
        <v>8.2896000000000001</v>
      </c>
      <c r="H106" s="7">
        <v>11.7028</v>
      </c>
      <c r="I106" s="7">
        <v>8.0920000000000005</v>
      </c>
      <c r="J106" s="9">
        <v>90</v>
      </c>
      <c r="K106" s="9">
        <v>90</v>
      </c>
      <c r="L106" s="9">
        <v>90</v>
      </c>
      <c r="M106" s="14">
        <v>2.21</v>
      </c>
      <c r="N106" s="8">
        <v>7.2000000000000005E-4</v>
      </c>
      <c r="O106" s="8">
        <v>1100000000</v>
      </c>
      <c r="P106" s="8">
        <v>1900000000</v>
      </c>
      <c r="Q106" s="17" t="s">
        <v>96</v>
      </c>
      <c r="R106" s="14">
        <v>50</v>
      </c>
      <c r="S106" s="17">
        <v>20.100000000000001</v>
      </c>
      <c r="T106" s="24">
        <v>8097</v>
      </c>
      <c r="U106" s="28">
        <v>0.49</v>
      </c>
      <c r="V106" s="92" t="s">
        <v>102</v>
      </c>
    </row>
    <row r="107" spans="1:22" ht="14.1" customHeight="1">
      <c r="A107" s="108" t="s">
        <v>54</v>
      </c>
      <c r="B107" s="9" t="s">
        <v>55</v>
      </c>
      <c r="C107" s="14">
        <v>86</v>
      </c>
      <c r="D107" s="16">
        <v>18</v>
      </c>
      <c r="E107" s="16">
        <v>35.5</v>
      </c>
      <c r="F107" s="16">
        <v>210.5</v>
      </c>
      <c r="G107" s="10">
        <v>6.7443</v>
      </c>
      <c r="H107" s="10">
        <v>13.398899999999999</v>
      </c>
      <c r="I107" s="10">
        <v>13.1951</v>
      </c>
      <c r="J107" s="27">
        <v>90</v>
      </c>
      <c r="K107" s="27">
        <v>90</v>
      </c>
      <c r="L107" s="27">
        <v>90</v>
      </c>
      <c r="M107" s="17">
        <v>5.34</v>
      </c>
      <c r="N107" s="8">
        <v>1.19E-6</v>
      </c>
      <c r="O107" s="23">
        <v>238000000</v>
      </c>
      <c r="P107" s="8">
        <v>191000000000000</v>
      </c>
      <c r="Q107" s="14" t="s">
        <v>76</v>
      </c>
      <c r="R107" s="17">
        <v>50</v>
      </c>
      <c r="S107" s="17">
        <v>1</v>
      </c>
      <c r="T107" s="24">
        <v>2833</v>
      </c>
      <c r="U107" s="17">
        <v>0.15</v>
      </c>
      <c r="V107" s="110" t="s">
        <v>104</v>
      </c>
    </row>
    <row r="108" spans="1:22">
      <c r="A108" s="109"/>
      <c r="B108" s="9" t="s">
        <v>56</v>
      </c>
      <c r="C108" s="14">
        <v>86</v>
      </c>
      <c r="D108" s="16">
        <v>18</v>
      </c>
      <c r="E108" s="16">
        <v>80</v>
      </c>
      <c r="F108" s="16">
        <v>344</v>
      </c>
      <c r="G108" s="7">
        <v>6.7443</v>
      </c>
      <c r="H108" s="7">
        <v>13.398899999999999</v>
      </c>
      <c r="I108" s="7">
        <v>13.1951</v>
      </c>
      <c r="J108" s="9">
        <v>90</v>
      </c>
      <c r="K108" s="9">
        <v>90</v>
      </c>
      <c r="L108" s="9">
        <v>90</v>
      </c>
      <c r="M108" s="17">
        <v>4.66</v>
      </c>
      <c r="N108" s="8">
        <v>1.08E-6</v>
      </c>
      <c r="O108" s="23">
        <v>238000000</v>
      </c>
      <c r="P108" s="8">
        <v>171000000000000</v>
      </c>
      <c r="Q108" s="14" t="s">
        <v>76</v>
      </c>
      <c r="R108" s="17">
        <v>50</v>
      </c>
      <c r="S108" s="17">
        <v>1</v>
      </c>
      <c r="T108" s="24">
        <v>3708</v>
      </c>
      <c r="U108" s="17">
        <v>0.192</v>
      </c>
      <c r="V108" s="111"/>
    </row>
    <row r="109" spans="1:22" ht="14.1" customHeight="1">
      <c r="A109" s="109"/>
      <c r="B109" s="9" t="s">
        <v>57</v>
      </c>
      <c r="C109" s="14">
        <v>86</v>
      </c>
      <c r="D109" s="16">
        <v>18</v>
      </c>
      <c r="E109" s="16">
        <v>127</v>
      </c>
      <c r="F109" s="16">
        <v>485</v>
      </c>
      <c r="G109" s="10">
        <v>6.7443</v>
      </c>
      <c r="H109" s="10">
        <v>13.398899999999999</v>
      </c>
      <c r="I109" s="10">
        <v>13.1951</v>
      </c>
      <c r="J109" s="27">
        <v>90</v>
      </c>
      <c r="K109" s="27">
        <v>90</v>
      </c>
      <c r="L109" s="27">
        <v>90</v>
      </c>
      <c r="M109" s="17">
        <v>4.17</v>
      </c>
      <c r="N109" s="8">
        <v>1.3E-6</v>
      </c>
      <c r="O109" s="23">
        <v>19000000</v>
      </c>
      <c r="P109" s="8">
        <v>2210000000000000</v>
      </c>
      <c r="Q109" s="14" t="s">
        <v>131</v>
      </c>
      <c r="R109" s="17">
        <v>50</v>
      </c>
      <c r="S109" s="17">
        <v>1</v>
      </c>
      <c r="T109" s="24">
        <v>2130</v>
      </c>
      <c r="U109" s="17">
        <v>0.1</v>
      </c>
      <c r="V109" s="111"/>
    </row>
    <row r="110" spans="1:22" ht="33.6" customHeight="1">
      <c r="A110" s="14" t="s">
        <v>7</v>
      </c>
      <c r="B110" s="9" t="s">
        <v>326</v>
      </c>
      <c r="C110" s="14">
        <v>200</v>
      </c>
      <c r="D110" s="16">
        <v>158.5</v>
      </c>
      <c r="E110" s="16">
        <v>127</v>
      </c>
      <c r="F110" s="16">
        <v>2132</v>
      </c>
      <c r="G110" s="7">
        <v>8.8214000000000006</v>
      </c>
      <c r="H110" s="7">
        <v>9.1445000000000007</v>
      </c>
      <c r="I110" s="7">
        <v>13.6531</v>
      </c>
      <c r="J110" s="9">
        <v>89.766999999999996</v>
      </c>
      <c r="K110" s="9">
        <v>79.204999999999998</v>
      </c>
      <c r="L110" s="9">
        <v>89.823999999999998</v>
      </c>
      <c r="M110" s="17">
        <v>2</v>
      </c>
      <c r="N110" s="8">
        <v>2.2799999999999999E-3</v>
      </c>
      <c r="O110" s="8">
        <v>30400000000</v>
      </c>
      <c r="P110" s="8">
        <v>37800000000</v>
      </c>
      <c r="Q110" s="17" t="s">
        <v>133</v>
      </c>
      <c r="R110" s="17">
        <v>80</v>
      </c>
      <c r="S110" s="17">
        <v>4.5999999999999996</v>
      </c>
      <c r="T110" s="24">
        <v>5.38</v>
      </c>
      <c r="U110" s="28">
        <v>5</v>
      </c>
      <c r="V110" s="91" t="s">
        <v>109</v>
      </c>
    </row>
    <row r="111" spans="1:22">
      <c r="A111" s="14" t="s">
        <v>129</v>
      </c>
      <c r="B111" s="45" t="s">
        <v>141</v>
      </c>
      <c r="C111" s="9">
        <v>32</v>
      </c>
      <c r="D111" s="16">
        <v>209</v>
      </c>
      <c r="E111" s="16">
        <v>127</v>
      </c>
      <c r="F111" s="9">
        <v>1657</v>
      </c>
      <c r="G111" s="7">
        <v>8.44</v>
      </c>
      <c r="H111" s="7">
        <v>8.44</v>
      </c>
      <c r="I111" s="7">
        <v>21.63</v>
      </c>
      <c r="J111" s="9">
        <v>90</v>
      </c>
      <c r="K111" s="9">
        <v>90</v>
      </c>
      <c r="L111" s="9">
        <v>120</v>
      </c>
      <c r="M111" s="38">
        <v>2.0299999999999998</v>
      </c>
      <c r="N111" s="39">
        <v>1.6199999999999999E-6</v>
      </c>
      <c r="O111" s="39">
        <v>300000000000</v>
      </c>
      <c r="P111" s="23">
        <v>1000000000000000</v>
      </c>
      <c r="Q111" s="41" t="s">
        <v>133</v>
      </c>
      <c r="R111" s="41">
        <v>40</v>
      </c>
      <c r="S111" s="41">
        <v>300</v>
      </c>
      <c r="T111" s="42">
        <v>100.16</v>
      </c>
      <c r="U111" s="43">
        <v>98.4</v>
      </c>
      <c r="V111" s="97" t="s">
        <v>271</v>
      </c>
    </row>
    <row r="112" spans="1:22" s="3" customFormat="1">
      <c r="A112" s="21" t="s">
        <v>129</v>
      </c>
      <c r="B112" s="44" t="s">
        <v>140</v>
      </c>
      <c r="C112" s="21">
        <v>32</v>
      </c>
      <c r="D112" s="46">
        <v>209</v>
      </c>
      <c r="E112" s="46">
        <v>127</v>
      </c>
      <c r="F112" s="21">
        <v>1657</v>
      </c>
      <c r="G112" s="47">
        <v>8.44</v>
      </c>
      <c r="H112" s="47">
        <v>8.44</v>
      </c>
      <c r="I112" s="47">
        <v>21.63</v>
      </c>
      <c r="J112" s="21">
        <v>90</v>
      </c>
      <c r="K112" s="21">
        <v>90</v>
      </c>
      <c r="L112" s="21">
        <v>120</v>
      </c>
      <c r="M112" s="48">
        <v>2.08</v>
      </c>
      <c r="N112" s="49">
        <v>4.6E-5</v>
      </c>
      <c r="O112" s="49">
        <v>228000000000</v>
      </c>
      <c r="P112" s="23">
        <v>1000000000000000</v>
      </c>
      <c r="Q112" s="41" t="s">
        <v>133</v>
      </c>
      <c r="R112" s="41">
        <v>45</v>
      </c>
      <c r="S112" s="41">
        <v>210</v>
      </c>
      <c r="T112" s="42">
        <v>563</v>
      </c>
      <c r="U112" s="44">
        <v>9.3000000000000007</v>
      </c>
      <c r="V112" s="97" t="s">
        <v>100</v>
      </c>
    </row>
    <row r="113" spans="1:22" ht="38.25" customHeight="1">
      <c r="A113" s="14" t="s">
        <v>129</v>
      </c>
      <c r="B113" s="45" t="s">
        <v>130</v>
      </c>
      <c r="C113" s="9">
        <v>32</v>
      </c>
      <c r="D113" s="16">
        <v>209</v>
      </c>
      <c r="E113" s="16">
        <v>127</v>
      </c>
      <c r="F113" s="9">
        <v>1657</v>
      </c>
      <c r="G113" s="7">
        <v>8.44</v>
      </c>
      <c r="H113" s="7">
        <v>8.44</v>
      </c>
      <c r="I113" s="7">
        <v>21.63</v>
      </c>
      <c r="J113" s="9">
        <v>90</v>
      </c>
      <c r="K113" s="9">
        <v>90</v>
      </c>
      <c r="L113" s="9">
        <v>120</v>
      </c>
      <c r="M113" s="50">
        <v>1.89</v>
      </c>
      <c r="N113" s="23">
        <v>1E-4</v>
      </c>
      <c r="O113" s="23">
        <v>1000000000</v>
      </c>
      <c r="P113" s="39">
        <v>1000000000000000</v>
      </c>
      <c r="Q113" s="50" t="s">
        <v>147</v>
      </c>
      <c r="R113" s="50">
        <v>40</v>
      </c>
      <c r="S113" s="50">
        <v>5000</v>
      </c>
      <c r="T113" s="51">
        <v>2065</v>
      </c>
      <c r="U113" s="52">
        <v>2.71</v>
      </c>
      <c r="V113" s="97" t="s">
        <v>272</v>
      </c>
    </row>
    <row r="114" spans="1:22" ht="27.6">
      <c r="A114" s="37" t="s">
        <v>137</v>
      </c>
      <c r="B114" s="45" t="s">
        <v>136</v>
      </c>
      <c r="C114" s="37">
        <v>54.6</v>
      </c>
      <c r="D114" s="53">
        <v>127</v>
      </c>
      <c r="E114" s="53">
        <v>122.3</v>
      </c>
      <c r="F114" s="53">
        <v>548.5</v>
      </c>
      <c r="G114" s="26">
        <v>12.5024</v>
      </c>
      <c r="H114" s="26">
        <v>12.5024</v>
      </c>
      <c r="I114" s="26">
        <v>12.5024</v>
      </c>
      <c r="J114" s="28">
        <v>90</v>
      </c>
      <c r="K114" s="28">
        <v>90</v>
      </c>
      <c r="L114" s="28">
        <v>90</v>
      </c>
      <c r="M114" s="28">
        <v>2.5</v>
      </c>
      <c r="N114" s="39">
        <v>1.29E-2</v>
      </c>
      <c r="O114" s="39">
        <v>127000000</v>
      </c>
      <c r="P114" s="39">
        <v>1100000000</v>
      </c>
      <c r="Q114" s="50" t="s">
        <v>133</v>
      </c>
      <c r="R114" s="50">
        <v>60</v>
      </c>
      <c r="S114" s="50">
        <v>0.1</v>
      </c>
      <c r="T114" s="39">
        <v>27083</v>
      </c>
      <c r="U114" s="52">
        <v>7.09</v>
      </c>
      <c r="V114" s="97" t="s">
        <v>274</v>
      </c>
    </row>
    <row r="115" spans="1:22">
      <c r="A115" s="37" t="s">
        <v>137</v>
      </c>
      <c r="B115" s="45" t="s">
        <v>139</v>
      </c>
      <c r="C115" s="37">
        <v>72.400000000000006</v>
      </c>
      <c r="D115" s="53">
        <v>207</v>
      </c>
      <c r="E115" s="53">
        <v>80</v>
      </c>
      <c r="F115" s="53">
        <v>445.4</v>
      </c>
      <c r="G115" s="26">
        <v>5.9170999999999996</v>
      </c>
      <c r="H115" s="26">
        <v>5.9170999999999996</v>
      </c>
      <c r="I115" s="26">
        <v>5.9170999999999996</v>
      </c>
      <c r="J115" s="28">
        <v>90</v>
      </c>
      <c r="K115" s="28">
        <v>90</v>
      </c>
      <c r="L115" s="28">
        <v>90</v>
      </c>
      <c r="M115" s="52">
        <v>2.2000000000000002</v>
      </c>
      <c r="N115" s="55">
        <v>1.8200000000000001E-2</v>
      </c>
      <c r="O115" s="39">
        <v>440000000</v>
      </c>
      <c r="P115" s="39">
        <v>10200000000</v>
      </c>
      <c r="Q115" s="50" t="s">
        <v>133</v>
      </c>
      <c r="R115" s="50">
        <v>50</v>
      </c>
      <c r="S115" s="50">
        <v>0.5</v>
      </c>
      <c r="T115" s="42">
        <v>2017</v>
      </c>
      <c r="U115" s="52">
        <v>1200</v>
      </c>
      <c r="V115" s="97" t="s">
        <v>275</v>
      </c>
    </row>
    <row r="116" spans="1:22" ht="27.6">
      <c r="A116" s="37" t="s">
        <v>137</v>
      </c>
      <c r="B116" s="45" t="s">
        <v>143</v>
      </c>
      <c r="C116" s="48">
        <v>47.3</v>
      </c>
      <c r="D116" s="53">
        <v>207</v>
      </c>
      <c r="E116" s="53">
        <v>117.6</v>
      </c>
      <c r="F116" s="53">
        <v>607.1</v>
      </c>
      <c r="G116" s="26">
        <v>12.5024</v>
      </c>
      <c r="H116" s="26">
        <v>12.5024</v>
      </c>
      <c r="I116" s="26">
        <v>12.5024</v>
      </c>
      <c r="J116" s="28">
        <v>90</v>
      </c>
      <c r="K116" s="28">
        <v>90</v>
      </c>
      <c r="L116" s="28">
        <v>90</v>
      </c>
      <c r="M116" s="57">
        <v>1.4</v>
      </c>
      <c r="N116" s="39">
        <v>2.0000000000000002E-5</v>
      </c>
      <c r="O116" s="39">
        <v>1E-10</v>
      </c>
      <c r="P116" s="40">
        <f>$P$113</f>
        <v>1000000000000000</v>
      </c>
      <c r="Q116" s="41" t="s">
        <v>133</v>
      </c>
      <c r="R116" s="41">
        <v>17</v>
      </c>
      <c r="S116" s="41">
        <v>800</v>
      </c>
      <c r="T116" s="42">
        <v>97</v>
      </c>
      <c r="U116" s="63">
        <v>1E-3</v>
      </c>
      <c r="V116" s="99" t="s">
        <v>277</v>
      </c>
    </row>
    <row r="117" spans="1:22">
      <c r="A117" s="37" t="s">
        <v>145</v>
      </c>
      <c r="B117" s="45" t="s">
        <v>328</v>
      </c>
      <c r="C117" s="16">
        <v>133</v>
      </c>
      <c r="D117" s="16">
        <v>158.5</v>
      </c>
      <c r="E117" s="53">
        <v>35.5</v>
      </c>
      <c r="F117" s="53">
        <v>637.5</v>
      </c>
      <c r="G117" s="7">
        <v>10.77</v>
      </c>
      <c r="H117" s="7">
        <v>10.77</v>
      </c>
      <c r="I117" s="7">
        <v>10.77</v>
      </c>
      <c r="J117" s="17">
        <v>90</v>
      </c>
      <c r="K117" s="17">
        <v>90</v>
      </c>
      <c r="L117" s="17">
        <v>90</v>
      </c>
      <c r="M117" s="38">
        <v>2.4900000000000002</v>
      </c>
      <c r="N117" s="55">
        <v>5.3600000000000002E-4</v>
      </c>
      <c r="O117" s="39">
        <v>31000000000</v>
      </c>
      <c r="P117" s="39">
        <v>1180000000</v>
      </c>
      <c r="Q117" s="41" t="s">
        <v>149</v>
      </c>
      <c r="R117" s="41">
        <v>30</v>
      </c>
      <c r="S117" s="41">
        <v>40</v>
      </c>
      <c r="T117" s="42">
        <v>325.77999999999997</v>
      </c>
      <c r="U117" s="43">
        <v>0.24099999999999999</v>
      </c>
      <c r="V117" s="97" t="s">
        <v>279</v>
      </c>
    </row>
    <row r="118" spans="1:22">
      <c r="A118" s="37" t="s">
        <v>261</v>
      </c>
      <c r="B118" s="45" t="s">
        <v>148</v>
      </c>
      <c r="C118" s="52">
        <v>436</v>
      </c>
      <c r="D118" s="52">
        <v>207</v>
      </c>
      <c r="E118" s="52">
        <v>127</v>
      </c>
      <c r="F118" s="53">
        <v>6443</v>
      </c>
      <c r="G118" s="26">
        <v>8.8725000000000005</v>
      </c>
      <c r="H118" s="26">
        <v>8.8725000000000005</v>
      </c>
      <c r="I118" s="26">
        <v>12.547000000000001</v>
      </c>
      <c r="J118" s="28">
        <v>90</v>
      </c>
      <c r="K118" s="28">
        <v>90</v>
      </c>
      <c r="L118" s="28">
        <v>90</v>
      </c>
      <c r="M118" s="38">
        <v>1.57</v>
      </c>
      <c r="N118" s="55">
        <v>3.9900000000000001E-5</v>
      </c>
      <c r="O118" s="39">
        <v>1.4000000000000001E-10</v>
      </c>
      <c r="P118" s="40">
        <f>$P$113</f>
        <v>1000000000000000</v>
      </c>
      <c r="Q118" s="41" t="s">
        <v>150</v>
      </c>
      <c r="R118" s="41">
        <v>100</v>
      </c>
      <c r="S118" s="41">
        <v>110</v>
      </c>
      <c r="T118" s="42">
        <v>5362</v>
      </c>
      <c r="U118" s="43">
        <v>8.0999999999999996E-3</v>
      </c>
      <c r="V118" s="97" t="s">
        <v>281</v>
      </c>
    </row>
    <row r="119" spans="1:22">
      <c r="A119" s="37" t="s">
        <v>151</v>
      </c>
      <c r="B119" s="45" t="s">
        <v>153</v>
      </c>
      <c r="C119" s="9">
        <v>133</v>
      </c>
      <c r="D119" s="16">
        <v>209</v>
      </c>
      <c r="E119" s="16">
        <v>127</v>
      </c>
      <c r="F119" s="9">
        <v>1960</v>
      </c>
      <c r="G119" s="7">
        <v>8.41</v>
      </c>
      <c r="H119" s="7">
        <v>8.41</v>
      </c>
      <c r="I119" s="7">
        <v>21.2</v>
      </c>
      <c r="J119" s="17">
        <v>90</v>
      </c>
      <c r="K119" s="17">
        <v>90</v>
      </c>
      <c r="L119" s="17">
        <v>120</v>
      </c>
      <c r="M119" s="38">
        <v>1.95</v>
      </c>
      <c r="N119" s="39">
        <v>2.5400000000000002E-3</v>
      </c>
      <c r="O119" s="40">
        <v>2.7900000000000002E-10</v>
      </c>
      <c r="P119" s="40">
        <f>$P$113</f>
        <v>1000000000000000</v>
      </c>
      <c r="Q119" s="41" t="s">
        <v>150</v>
      </c>
      <c r="R119" s="41">
        <v>50</v>
      </c>
      <c r="S119" s="41">
        <v>120</v>
      </c>
      <c r="T119" s="42">
        <v>368</v>
      </c>
      <c r="U119" s="43">
        <v>0.23100000000000001</v>
      </c>
      <c r="V119" s="97" t="s">
        <v>282</v>
      </c>
    </row>
    <row r="120" spans="1:22">
      <c r="A120" s="37" t="s">
        <v>152</v>
      </c>
      <c r="B120" s="45" t="s">
        <v>154</v>
      </c>
      <c r="C120" s="60">
        <v>150</v>
      </c>
      <c r="D120" s="60">
        <v>55</v>
      </c>
      <c r="E120" s="61">
        <v>80</v>
      </c>
      <c r="F120" s="53">
        <v>675</v>
      </c>
      <c r="G120" s="7">
        <v>9.5494000000000003</v>
      </c>
      <c r="H120" s="7">
        <v>9.0803999999999991</v>
      </c>
      <c r="I120" s="7">
        <v>15.1839</v>
      </c>
      <c r="J120" s="17">
        <v>90</v>
      </c>
      <c r="K120" s="17">
        <v>94.62</v>
      </c>
      <c r="L120" s="17">
        <v>90</v>
      </c>
      <c r="M120" s="38">
        <v>3.2</v>
      </c>
      <c r="N120" s="39">
        <v>1.01E-4</v>
      </c>
      <c r="O120" s="39">
        <v>217000000000</v>
      </c>
      <c r="P120" s="40">
        <f>$P$113</f>
        <v>1000000000000000</v>
      </c>
      <c r="Q120" s="41" t="s">
        <v>133</v>
      </c>
      <c r="R120" s="41">
        <v>20</v>
      </c>
      <c r="S120" s="41">
        <v>111.1</v>
      </c>
      <c r="T120" s="39">
        <v>5560</v>
      </c>
      <c r="U120" s="43">
        <v>8.6999999999999994E-3</v>
      </c>
      <c r="V120" s="97" t="s">
        <v>283</v>
      </c>
    </row>
    <row r="121" spans="1:22">
      <c r="A121" s="14" t="s">
        <v>159</v>
      </c>
      <c r="B121" s="9" t="s">
        <v>42</v>
      </c>
      <c r="C121" s="16">
        <v>133</v>
      </c>
      <c r="D121" s="16">
        <v>207</v>
      </c>
      <c r="E121" s="16">
        <v>111</v>
      </c>
      <c r="F121" s="16">
        <v>674</v>
      </c>
      <c r="G121" s="7">
        <v>6.4</v>
      </c>
      <c r="H121" s="7">
        <v>6.4</v>
      </c>
      <c r="I121" s="7">
        <v>5.97</v>
      </c>
      <c r="J121" s="9">
        <v>90</v>
      </c>
      <c r="K121" s="9">
        <v>90</v>
      </c>
      <c r="L121" s="9">
        <v>90</v>
      </c>
      <c r="M121" s="38">
        <v>1.92</v>
      </c>
      <c r="N121" s="40">
        <v>6.0000000000000001E-3</v>
      </c>
      <c r="O121" s="40">
        <v>57000000000</v>
      </c>
      <c r="P121" s="40">
        <v>67000000000000</v>
      </c>
      <c r="Q121" s="41" t="s">
        <v>164</v>
      </c>
      <c r="R121" s="41">
        <v>30</v>
      </c>
      <c r="S121" s="41">
        <v>0</v>
      </c>
      <c r="T121" s="62">
        <v>1200000</v>
      </c>
      <c r="U121" s="43">
        <v>2.5690000000000001E-2</v>
      </c>
      <c r="V121" s="97" t="s">
        <v>284</v>
      </c>
    </row>
    <row r="122" spans="1:22">
      <c r="A122" s="52" t="s">
        <v>161</v>
      </c>
      <c r="B122" s="45" t="s">
        <v>162</v>
      </c>
      <c r="C122" s="16">
        <v>408</v>
      </c>
      <c r="D122" s="16">
        <v>207</v>
      </c>
      <c r="E122" s="16">
        <v>127</v>
      </c>
      <c r="F122" s="16">
        <v>3475</v>
      </c>
      <c r="G122" s="7">
        <v>8.8725000000000005</v>
      </c>
      <c r="H122" s="7">
        <v>8.8725000000000005</v>
      </c>
      <c r="I122" s="7">
        <v>12.547000000000001</v>
      </c>
      <c r="J122" s="9">
        <v>90</v>
      </c>
      <c r="K122" s="9">
        <v>90</v>
      </c>
      <c r="L122" s="9">
        <v>90</v>
      </c>
      <c r="M122" s="64">
        <v>2.1</v>
      </c>
      <c r="N122" s="39">
        <v>2.1999999999999999E-5</v>
      </c>
      <c r="O122" s="39">
        <v>3000000000</v>
      </c>
      <c r="P122" s="40">
        <f>$P$113</f>
        <v>1000000000000000</v>
      </c>
      <c r="Q122" s="41" t="s">
        <v>164</v>
      </c>
      <c r="R122" s="43">
        <v>70</v>
      </c>
      <c r="S122" s="52">
        <v>33.299999999999997</v>
      </c>
      <c r="T122" s="39">
        <v>19500</v>
      </c>
      <c r="U122" s="52">
        <v>0.48</v>
      </c>
      <c r="V122" s="97" t="s">
        <v>286</v>
      </c>
    </row>
    <row r="123" spans="1:22">
      <c r="A123" s="52" t="s">
        <v>168</v>
      </c>
      <c r="B123" s="45" t="s">
        <v>169</v>
      </c>
      <c r="C123" s="52">
        <v>194</v>
      </c>
      <c r="D123" s="52">
        <v>158.5</v>
      </c>
      <c r="E123" s="52">
        <v>80</v>
      </c>
      <c r="F123" s="52">
        <v>1185</v>
      </c>
      <c r="G123" s="7">
        <v>11.2758</v>
      </c>
      <c r="H123" s="7">
        <v>11.2758</v>
      </c>
      <c r="I123" s="7">
        <v>11.2758</v>
      </c>
      <c r="J123" s="17">
        <v>90</v>
      </c>
      <c r="K123" s="17">
        <v>90</v>
      </c>
      <c r="L123" s="17">
        <v>90</v>
      </c>
      <c r="M123" s="57">
        <v>2.2000000000000002</v>
      </c>
      <c r="N123" s="39">
        <v>1.9400000000000001E-3</v>
      </c>
      <c r="O123" s="40">
        <v>50000000000</v>
      </c>
      <c r="P123" s="39">
        <v>3430000000</v>
      </c>
      <c r="Q123" s="52" t="s">
        <v>147</v>
      </c>
      <c r="R123" s="52">
        <v>50</v>
      </c>
      <c r="S123" s="52">
        <v>22.7</v>
      </c>
      <c r="T123" s="39">
        <v>288.8</v>
      </c>
      <c r="U123" s="63">
        <v>0.02</v>
      </c>
      <c r="V123" s="100" t="s">
        <v>289</v>
      </c>
    </row>
    <row r="124" spans="1:22" ht="29.25" customHeight="1">
      <c r="A124" s="37" t="s">
        <v>200</v>
      </c>
      <c r="B124" s="45" t="s">
        <v>197</v>
      </c>
      <c r="C124" s="16">
        <v>133</v>
      </c>
      <c r="D124" s="16">
        <v>158.5</v>
      </c>
      <c r="E124" s="16">
        <v>80</v>
      </c>
      <c r="F124" s="16">
        <v>1063</v>
      </c>
      <c r="G124" s="6">
        <v>11.2562</v>
      </c>
      <c r="H124" s="6">
        <v>11.2562</v>
      </c>
      <c r="I124" s="6">
        <v>11.2562</v>
      </c>
      <c r="J124" s="9">
        <v>90</v>
      </c>
      <c r="K124" s="9">
        <v>90</v>
      </c>
      <c r="L124" s="9">
        <v>90</v>
      </c>
      <c r="M124" s="38">
        <v>1.9</v>
      </c>
      <c r="N124" s="40">
        <v>1.0000000000000001E-5</v>
      </c>
      <c r="O124" s="39">
        <v>70000000000</v>
      </c>
      <c r="P124" s="40">
        <f>$P$113</f>
        <v>1000000000000000</v>
      </c>
      <c r="Q124" s="52" t="s">
        <v>96</v>
      </c>
      <c r="R124" s="52">
        <v>100</v>
      </c>
      <c r="S124" s="52">
        <v>1666.7</v>
      </c>
      <c r="T124" s="39">
        <v>18000</v>
      </c>
      <c r="U124" s="52">
        <v>0.14499999999999999</v>
      </c>
      <c r="V124" s="97" t="s">
        <v>290</v>
      </c>
    </row>
    <row r="125" spans="1:22" ht="27.6">
      <c r="A125" s="69" t="s">
        <v>207</v>
      </c>
      <c r="B125" s="1" t="s">
        <v>206</v>
      </c>
      <c r="C125">
        <v>107</v>
      </c>
      <c r="D125">
        <v>18</v>
      </c>
      <c r="E125">
        <v>127</v>
      </c>
      <c r="F125">
        <v>1019.96</v>
      </c>
      <c r="G125">
        <v>14.0418</v>
      </c>
      <c r="H125" s="70">
        <v>10.1083</v>
      </c>
      <c r="I125" s="66">
        <v>10.2995</v>
      </c>
      <c r="J125" s="9">
        <v>90</v>
      </c>
      <c r="K125" s="9">
        <v>90</v>
      </c>
      <c r="L125" s="9">
        <v>90</v>
      </c>
      <c r="M125" s="38">
        <v>4.63</v>
      </c>
      <c r="N125" s="67">
        <v>1.07E-4</v>
      </c>
      <c r="O125" s="67">
        <v>543000000</v>
      </c>
      <c r="P125" s="67">
        <v>12600000000</v>
      </c>
      <c r="Q125" s="52" t="s">
        <v>147</v>
      </c>
      <c r="R125" s="52">
        <v>50</v>
      </c>
      <c r="S125" s="52">
        <v>130</v>
      </c>
      <c r="T125" s="39">
        <v>740.8</v>
      </c>
      <c r="U125" s="63">
        <v>1.3999999999999999E-4</v>
      </c>
      <c r="V125" s="102" t="s">
        <v>294</v>
      </c>
    </row>
    <row r="126" spans="1:22">
      <c r="A126" s="69" t="s">
        <v>211</v>
      </c>
      <c r="B126" s="1" t="s">
        <v>331</v>
      </c>
      <c r="C126" s="9">
        <v>133</v>
      </c>
      <c r="D126">
        <v>108</v>
      </c>
      <c r="E126" s="16">
        <v>127</v>
      </c>
      <c r="F126">
        <f>C126+D126*2+E126*3</f>
        <v>730</v>
      </c>
      <c r="G126" t="s">
        <v>210</v>
      </c>
      <c r="H126" s="71">
        <v>6.2305999999999999</v>
      </c>
      <c r="I126" s="72">
        <v>11.0763</v>
      </c>
      <c r="J126" s="9">
        <v>90</v>
      </c>
      <c r="K126" s="9">
        <v>90</v>
      </c>
      <c r="L126" s="9">
        <v>90</v>
      </c>
      <c r="M126" s="38">
        <v>3.3</v>
      </c>
      <c r="N126" s="40">
        <v>1.0000000000000001E-5</v>
      </c>
      <c r="O126" s="67">
        <v>220000000</v>
      </c>
      <c r="P126" s="40">
        <f>$P$113</f>
        <v>1000000000000000</v>
      </c>
      <c r="Q126" s="52" t="s">
        <v>147</v>
      </c>
      <c r="R126" s="69">
        <v>35</v>
      </c>
      <c r="S126" s="54">
        <v>15</v>
      </c>
      <c r="T126" s="55">
        <v>448.54</v>
      </c>
      <c r="U126" s="68">
        <v>14.65</v>
      </c>
      <c r="V126" s="101" t="s">
        <v>299</v>
      </c>
    </row>
    <row r="127" spans="1:22">
      <c r="A127" s="69" t="s">
        <v>207</v>
      </c>
      <c r="B127" s="1" t="s">
        <v>212</v>
      </c>
      <c r="C127" s="16">
        <v>45</v>
      </c>
      <c r="D127" s="16">
        <v>207</v>
      </c>
      <c r="E127" s="16">
        <v>80</v>
      </c>
      <c r="F127" s="16">
        <v>421</v>
      </c>
      <c r="G127" s="22">
        <v>5.9450000000000003</v>
      </c>
      <c r="H127" s="22">
        <v>5.9450000000000003</v>
      </c>
      <c r="I127" s="22">
        <v>5.9450000000000003</v>
      </c>
      <c r="J127" s="9">
        <v>90</v>
      </c>
      <c r="K127" s="9">
        <v>90</v>
      </c>
      <c r="L127" s="9">
        <v>90</v>
      </c>
      <c r="M127" s="38">
        <v>2.16</v>
      </c>
      <c r="N127" s="67">
        <v>1.1000000000000001E-3</v>
      </c>
      <c r="O127" s="40">
        <v>10000000</v>
      </c>
      <c r="P127" s="40">
        <v>10000000000</v>
      </c>
      <c r="Q127" s="54" t="s">
        <v>208</v>
      </c>
      <c r="R127" s="69">
        <v>50</v>
      </c>
      <c r="S127" s="54">
        <v>0</v>
      </c>
      <c r="T127" s="55">
        <v>402</v>
      </c>
      <c r="U127" s="54">
        <v>0.17299999999999999</v>
      </c>
      <c r="V127" s="101" t="s">
        <v>254</v>
      </c>
    </row>
    <row r="128" spans="1:22">
      <c r="A128" t="s">
        <v>216</v>
      </c>
      <c r="B128" s="1" t="s">
        <v>218</v>
      </c>
      <c r="C128" s="16">
        <v>32</v>
      </c>
      <c r="D128" s="16">
        <v>207</v>
      </c>
      <c r="E128" s="16">
        <v>127</v>
      </c>
      <c r="F128" s="16">
        <v>620</v>
      </c>
      <c r="G128" s="7">
        <v>8.8725000000000005</v>
      </c>
      <c r="H128" s="7">
        <v>8.8725000000000005</v>
      </c>
      <c r="I128" s="7">
        <v>12.547000000000001</v>
      </c>
      <c r="J128" s="9">
        <v>90</v>
      </c>
      <c r="K128" s="9">
        <v>90</v>
      </c>
      <c r="L128" s="9">
        <v>90</v>
      </c>
      <c r="M128" s="64">
        <v>1.54</v>
      </c>
      <c r="N128" s="67">
        <v>3.4400000000000001E-4</v>
      </c>
      <c r="O128" s="40">
        <v>350000000</v>
      </c>
      <c r="P128" s="67">
        <v>1.5E-11</v>
      </c>
      <c r="Q128" s="54" t="s">
        <v>208</v>
      </c>
      <c r="R128" s="69">
        <v>50</v>
      </c>
      <c r="S128" s="54">
        <v>25</v>
      </c>
      <c r="T128" s="55">
        <v>8291.2199999999993</v>
      </c>
      <c r="U128" s="54">
        <v>0.34</v>
      </c>
      <c r="V128" s="101" t="s">
        <v>300</v>
      </c>
    </row>
    <row r="129" spans="1:22" ht="41.4">
      <c r="A129" s="1" t="s">
        <v>262</v>
      </c>
      <c r="B129" s="1" t="s">
        <v>260</v>
      </c>
      <c r="C129" s="53">
        <v>146</v>
      </c>
      <c r="D129" s="52">
        <v>207</v>
      </c>
      <c r="E129" s="16">
        <v>127</v>
      </c>
      <c r="F129">
        <f>C129*2+D129+E129*4</f>
        <v>1007</v>
      </c>
      <c r="G129" s="70">
        <v>27.681999999999999</v>
      </c>
      <c r="H129" s="74">
        <v>8.8766999999999996</v>
      </c>
      <c r="I129" s="66">
        <v>8.6961999999999993</v>
      </c>
      <c r="J129" s="9">
        <v>90</v>
      </c>
      <c r="K129" s="9">
        <v>90</v>
      </c>
      <c r="L129" s="9">
        <v>90</v>
      </c>
      <c r="M129" s="57">
        <v>2.38</v>
      </c>
      <c r="N129" s="67">
        <v>6.9999999999999994E-5</v>
      </c>
      <c r="O129" s="67">
        <v>7000000000</v>
      </c>
      <c r="P129" s="40">
        <v>1000000000000000</v>
      </c>
      <c r="Q129" s="54" t="s">
        <v>208</v>
      </c>
      <c r="R129" s="69">
        <v>45</v>
      </c>
      <c r="S129" s="54">
        <v>210</v>
      </c>
      <c r="T129" s="55">
        <v>7000</v>
      </c>
      <c r="U129" s="54">
        <v>9.2999999999999992E-3</v>
      </c>
      <c r="V129" s="102" t="s">
        <v>301</v>
      </c>
    </row>
    <row r="130" spans="1:22">
      <c r="A130" s="69" t="s">
        <v>222</v>
      </c>
      <c r="B130" s="1" t="s">
        <v>223</v>
      </c>
      <c r="C130" s="16">
        <v>45</v>
      </c>
      <c r="D130" s="16">
        <v>209</v>
      </c>
      <c r="E130" s="16">
        <v>80</v>
      </c>
      <c r="F130" s="1">
        <f>C130*3+D130*2+E130*9</f>
        <v>1273</v>
      </c>
      <c r="G130" s="70">
        <v>8.36</v>
      </c>
      <c r="H130" s="70">
        <v>8.36</v>
      </c>
      <c r="I130" s="66">
        <v>10.18</v>
      </c>
      <c r="J130" s="38">
        <v>90</v>
      </c>
      <c r="K130" s="38">
        <v>90</v>
      </c>
      <c r="L130" s="38">
        <v>120</v>
      </c>
      <c r="M130" s="59">
        <v>2.72</v>
      </c>
      <c r="N130" s="67">
        <v>4.15E-4</v>
      </c>
      <c r="O130" s="67">
        <v>17600000000</v>
      </c>
      <c r="P130" s="67">
        <v>5660000000</v>
      </c>
      <c r="Q130" s="52" t="s">
        <v>147</v>
      </c>
      <c r="R130" s="69">
        <v>50</v>
      </c>
      <c r="S130" s="54">
        <v>200</v>
      </c>
      <c r="T130" s="55">
        <v>623</v>
      </c>
      <c r="U130" s="54">
        <v>2.1</v>
      </c>
      <c r="V130" s="101" t="s">
        <v>303</v>
      </c>
    </row>
    <row r="131" spans="1:22">
      <c r="A131" t="s">
        <v>234</v>
      </c>
      <c r="B131" s="1" t="s">
        <v>235</v>
      </c>
      <c r="C131">
        <f>C128*0.42+C130*0.58</f>
        <v>39.54</v>
      </c>
      <c r="D131" s="52">
        <v>207</v>
      </c>
      <c r="E131" s="16">
        <v>127</v>
      </c>
      <c r="F131" s="1">
        <f>C131+D131+E131*3</f>
        <v>627.54</v>
      </c>
      <c r="G131" s="82">
        <v>6.5</v>
      </c>
      <c r="H131" s="82">
        <v>6.5</v>
      </c>
      <c r="I131" s="83">
        <v>6.5</v>
      </c>
      <c r="J131" s="27">
        <v>90</v>
      </c>
      <c r="K131" s="27">
        <v>90</v>
      </c>
      <c r="L131" s="27">
        <v>90</v>
      </c>
      <c r="M131" s="57">
        <v>1.52</v>
      </c>
      <c r="N131" s="67">
        <v>1.4999999999999999E-4</v>
      </c>
      <c r="O131" s="40">
        <v>200000000</v>
      </c>
      <c r="P131" s="67">
        <v>100000000000</v>
      </c>
      <c r="Q131" s="54" t="s">
        <v>133</v>
      </c>
      <c r="R131" s="69">
        <v>40</v>
      </c>
      <c r="S131" s="54">
        <v>71.400000000000006</v>
      </c>
      <c r="T131" s="67">
        <v>1160000</v>
      </c>
      <c r="U131" s="54">
        <v>3.7400000000000003E-2</v>
      </c>
      <c r="V131" s="101" t="s">
        <v>237</v>
      </c>
    </row>
    <row r="132" spans="1:22">
      <c r="A132" t="s">
        <v>240</v>
      </c>
      <c r="B132" s="1" t="s">
        <v>239</v>
      </c>
      <c r="C132">
        <v>127</v>
      </c>
      <c r="D132">
        <v>18</v>
      </c>
      <c r="E132" s="1">
        <f>31+19*5</f>
        <v>126</v>
      </c>
      <c r="F132" s="1">
        <v>523</v>
      </c>
      <c r="G132" s="82">
        <v>7.2217000000000002</v>
      </c>
      <c r="H132" s="82">
        <v>7.2217000000000002</v>
      </c>
      <c r="I132" s="83">
        <v>7.2217000000000002</v>
      </c>
      <c r="J132" s="82">
        <v>84.8</v>
      </c>
      <c r="K132" s="82">
        <v>84.8</v>
      </c>
      <c r="L132" s="83">
        <v>84.8</v>
      </c>
      <c r="M132" s="59">
        <v>7.13</v>
      </c>
      <c r="N132" s="67">
        <v>1.56E-4</v>
      </c>
      <c r="O132" s="67">
        <v>79420000000</v>
      </c>
      <c r="P132" s="67">
        <v>10300000000</v>
      </c>
      <c r="Q132" s="52" t="s">
        <v>147</v>
      </c>
      <c r="R132" s="69">
        <v>50</v>
      </c>
      <c r="S132" s="54">
        <v>333.3</v>
      </c>
      <c r="T132" s="55">
        <v>2078</v>
      </c>
      <c r="U132" s="54">
        <v>1.6299999999999999E-2</v>
      </c>
      <c r="V132" s="101" t="s">
        <v>241</v>
      </c>
    </row>
    <row r="133" spans="1:22" ht="27.6">
      <c r="A133" t="s">
        <v>240</v>
      </c>
      <c r="B133" s="1" t="s">
        <v>335</v>
      </c>
      <c r="C133">
        <v>88</v>
      </c>
      <c r="D133">
        <v>33</v>
      </c>
      <c r="E133" s="60">
        <v>80</v>
      </c>
      <c r="F133">
        <f>D133+C133+240</f>
        <v>361</v>
      </c>
      <c r="G133">
        <v>16.873999999999999</v>
      </c>
      <c r="H133">
        <v>7.4202000000000004</v>
      </c>
      <c r="I133" s="60">
        <v>10.013999999999999</v>
      </c>
      <c r="J133">
        <v>90</v>
      </c>
      <c r="K133">
        <v>90</v>
      </c>
      <c r="L133">
        <v>90</v>
      </c>
      <c r="M133" s="59">
        <v>4.5999999999999996</v>
      </c>
      <c r="N133" s="67">
        <v>1.7000000000000001E-4</v>
      </c>
      <c r="O133" s="67">
        <v>27400000000</v>
      </c>
      <c r="P133" s="67">
        <v>5800000000</v>
      </c>
      <c r="Q133" s="52" t="s">
        <v>147</v>
      </c>
      <c r="R133" s="69">
        <v>40</v>
      </c>
      <c r="S133" s="54">
        <v>200</v>
      </c>
      <c r="T133" s="55">
        <v>1142</v>
      </c>
      <c r="U133" s="54">
        <v>2.68</v>
      </c>
      <c r="V133" s="107" t="s">
        <v>242</v>
      </c>
    </row>
    <row r="134" spans="1:22" ht="27.6">
      <c r="A134" t="s">
        <v>240</v>
      </c>
      <c r="B134" s="1" t="s">
        <v>336</v>
      </c>
      <c r="C134">
        <v>88</v>
      </c>
      <c r="D134">
        <v>33</v>
      </c>
      <c r="E134" s="60">
        <v>35.5</v>
      </c>
      <c r="F134" s="1">
        <f>C134+D134+E134*3</f>
        <v>227.5</v>
      </c>
      <c r="G134">
        <v>17.526800000000001</v>
      </c>
      <c r="H134">
        <v>7.6881000000000004</v>
      </c>
      <c r="I134" s="60">
        <v>10.398400000000001</v>
      </c>
      <c r="J134">
        <v>90</v>
      </c>
      <c r="K134">
        <v>90</v>
      </c>
      <c r="L134">
        <v>90</v>
      </c>
      <c r="M134" s="59">
        <v>4.5199999999999996</v>
      </c>
      <c r="N134" s="67">
        <v>1.2999999999999999E-3</v>
      </c>
      <c r="O134" s="67">
        <v>12600000000</v>
      </c>
      <c r="P134" s="67">
        <v>11000000000</v>
      </c>
      <c r="Q134" s="52" t="s">
        <v>147</v>
      </c>
      <c r="R134" s="69">
        <v>40</v>
      </c>
      <c r="S134" s="54">
        <v>200</v>
      </c>
      <c r="T134" s="55">
        <v>1186</v>
      </c>
      <c r="U134" s="54">
        <v>2.88</v>
      </c>
      <c r="V134" s="107"/>
    </row>
    <row r="135" spans="1:22">
      <c r="A135" s="69" t="s">
        <v>247</v>
      </c>
      <c r="B135" s="1" t="s">
        <v>337</v>
      </c>
      <c r="C135">
        <v>122</v>
      </c>
      <c r="D135">
        <v>158.5</v>
      </c>
      <c r="E135">
        <v>127</v>
      </c>
      <c r="F135" s="1">
        <f>C135*4+D1302*2+E135*8</f>
        <v>1504</v>
      </c>
      <c r="G135">
        <v>9.6564999999999994</v>
      </c>
      <c r="H135">
        <v>17.050799999999999</v>
      </c>
      <c r="I135" s="1">
        <v>16.753499999999999</v>
      </c>
      <c r="J135" s="59">
        <v>90</v>
      </c>
      <c r="K135" s="59">
        <v>102.503</v>
      </c>
      <c r="L135">
        <v>90</v>
      </c>
      <c r="M135" s="59">
        <v>2.06</v>
      </c>
      <c r="N135" s="67">
        <v>2.1999999999999999E-5</v>
      </c>
      <c r="O135" s="67">
        <v>15400000000</v>
      </c>
      <c r="P135" s="40">
        <v>10000000000</v>
      </c>
      <c r="Q135" s="54" t="s">
        <v>133</v>
      </c>
      <c r="R135" s="69">
        <v>50</v>
      </c>
      <c r="S135" s="54">
        <v>100</v>
      </c>
      <c r="T135" s="55">
        <v>949.6</v>
      </c>
      <c r="U135" s="54">
        <v>8.5000000000000006E-2</v>
      </c>
      <c r="V135" s="102" t="s">
        <v>248</v>
      </c>
    </row>
    <row r="136" spans="1:22">
      <c r="A136" s="69" t="s">
        <v>250</v>
      </c>
      <c r="B136" s="1" t="s">
        <v>338</v>
      </c>
      <c r="C136">
        <v>134.80000000000001</v>
      </c>
      <c r="D136">
        <v>207</v>
      </c>
      <c r="E136">
        <v>80</v>
      </c>
      <c r="F136" s="1">
        <v>796.6</v>
      </c>
      <c r="G136">
        <v>24.772099999999998</v>
      </c>
      <c r="H136">
        <v>24.772099999999998</v>
      </c>
      <c r="I136" s="1">
        <v>56.963999999999999</v>
      </c>
      <c r="J136">
        <v>90</v>
      </c>
      <c r="K136" s="59">
        <v>98.62</v>
      </c>
      <c r="L136">
        <v>90</v>
      </c>
      <c r="M136" s="59">
        <v>3</v>
      </c>
      <c r="N136" s="67">
        <v>1.5299999999999999E-5</v>
      </c>
      <c r="O136" s="67">
        <v>38800000000</v>
      </c>
      <c r="P136" s="67">
        <v>36000000000</v>
      </c>
      <c r="Q136" s="54" t="s">
        <v>133</v>
      </c>
      <c r="R136" s="69">
        <v>120</v>
      </c>
      <c r="S136" s="54">
        <v>175</v>
      </c>
      <c r="T136" s="55">
        <v>3248</v>
      </c>
      <c r="U136" s="54">
        <v>175</v>
      </c>
      <c r="V136" s="103" t="s">
        <v>249</v>
      </c>
    </row>
    <row r="137" spans="1:22">
      <c r="A137" s="69" t="s">
        <v>250</v>
      </c>
      <c r="B137" s="1" t="s">
        <v>251</v>
      </c>
      <c r="C137">
        <v>112.7</v>
      </c>
      <c r="D137">
        <v>114.8</v>
      </c>
      <c r="E137">
        <v>80</v>
      </c>
      <c r="F137" s="1">
        <v>1095</v>
      </c>
      <c r="G137">
        <v>11.5632</v>
      </c>
      <c r="H137" s="59">
        <v>12.2529</v>
      </c>
      <c r="I137" s="1">
        <v>18.693999999999999</v>
      </c>
      <c r="J137" s="59">
        <v>90</v>
      </c>
      <c r="K137">
        <v>94.263999999999996</v>
      </c>
      <c r="L137">
        <v>90</v>
      </c>
      <c r="M137" s="59">
        <v>2.48</v>
      </c>
      <c r="N137" s="67">
        <v>1.72E-3</v>
      </c>
      <c r="O137" s="67">
        <v>220000000000</v>
      </c>
      <c r="P137" s="67">
        <v>35600000000</v>
      </c>
      <c r="Q137" s="54" t="s">
        <v>133</v>
      </c>
      <c r="R137" s="69">
        <v>50</v>
      </c>
      <c r="S137" s="54">
        <v>33.299999999999997</v>
      </c>
      <c r="T137" s="55">
        <v>223</v>
      </c>
      <c r="U137" s="54">
        <v>8.4199999999999997E-2</v>
      </c>
      <c r="V137" s="101" t="s">
        <v>252</v>
      </c>
    </row>
    <row r="138" spans="1:22" ht="27.6">
      <c r="A138" s="1" t="s">
        <v>258</v>
      </c>
      <c r="B138" s="1" t="s">
        <v>257</v>
      </c>
      <c r="C138">
        <v>38.5</v>
      </c>
      <c r="D138">
        <v>207</v>
      </c>
      <c r="E138">
        <v>127</v>
      </c>
      <c r="F138" s="1">
        <v>626.5</v>
      </c>
      <c r="G138" s="82">
        <v>6.35</v>
      </c>
      <c r="H138" s="82">
        <v>6.35</v>
      </c>
      <c r="I138" s="83">
        <v>6.35</v>
      </c>
      <c r="J138" s="59">
        <v>90</v>
      </c>
      <c r="K138">
        <v>90</v>
      </c>
      <c r="L138">
        <v>90</v>
      </c>
      <c r="M138" s="85">
        <v>1.5</v>
      </c>
      <c r="N138" s="84">
        <v>5.0000000000000001E-3</v>
      </c>
      <c r="O138" s="84">
        <v>1000000000</v>
      </c>
      <c r="P138" s="67">
        <v>138000000000</v>
      </c>
      <c r="Q138" t="s">
        <v>133</v>
      </c>
      <c r="R138" s="69">
        <v>50</v>
      </c>
      <c r="S138" s="54">
        <v>2.5</v>
      </c>
      <c r="T138" s="55">
        <v>130000</v>
      </c>
      <c r="U138" s="54">
        <v>1.5E-3</v>
      </c>
      <c r="V138" s="102" t="s">
        <v>255</v>
      </c>
    </row>
    <row r="139" spans="1:22" ht="27.6">
      <c r="A139" t="s">
        <v>267</v>
      </c>
      <c r="B139" s="1" t="s">
        <v>266</v>
      </c>
      <c r="C139" s="82">
        <v>45</v>
      </c>
      <c r="D139" s="82">
        <v>207</v>
      </c>
      <c r="E139" s="82">
        <v>80</v>
      </c>
      <c r="F139" s="83">
        <v>421</v>
      </c>
      <c r="G139" s="82">
        <v>5.9450000000000003</v>
      </c>
      <c r="H139" s="82">
        <v>5.9450000000000003</v>
      </c>
      <c r="I139" s="83">
        <v>5.9450000000000003</v>
      </c>
      <c r="J139" s="82">
        <v>90</v>
      </c>
      <c r="K139" s="82">
        <v>90</v>
      </c>
      <c r="L139" s="83">
        <v>90</v>
      </c>
      <c r="M139" s="54">
        <v>2.15</v>
      </c>
      <c r="N139" s="67">
        <v>1.1000000000000001E-3</v>
      </c>
      <c r="O139" s="67">
        <v>1E-8</v>
      </c>
      <c r="P139" s="40">
        <v>10000000000</v>
      </c>
      <c r="Q139" t="s">
        <v>64</v>
      </c>
      <c r="R139">
        <v>50</v>
      </c>
      <c r="S139">
        <v>0</v>
      </c>
      <c r="T139" s="55">
        <v>402</v>
      </c>
      <c r="U139">
        <v>0.17299999999999999</v>
      </c>
      <c r="V139" s="101" t="s">
        <v>268</v>
      </c>
    </row>
    <row r="140" spans="1:22">
      <c r="A140" s="69" t="s">
        <v>362</v>
      </c>
      <c r="B140" s="1" t="s">
        <v>364</v>
      </c>
      <c r="C140">
        <f>176/2</f>
        <v>88</v>
      </c>
      <c r="D140">
        <f>121.8+85.47</f>
        <v>207.26999999999998</v>
      </c>
      <c r="E140">
        <f>127</f>
        <v>127</v>
      </c>
      <c r="F140" s="1">
        <v>1144.8800000000001</v>
      </c>
      <c r="G140">
        <v>14.65</v>
      </c>
      <c r="H140">
        <v>10.02</v>
      </c>
      <c r="I140" s="1">
        <v>33.700000000000003</v>
      </c>
      <c r="J140" s="59">
        <v>90</v>
      </c>
      <c r="K140">
        <v>94.9</v>
      </c>
      <c r="L140" s="1">
        <v>90</v>
      </c>
      <c r="M140" s="59">
        <v>2.2000000000000002</v>
      </c>
      <c r="N140" s="67">
        <v>1.5200000000000001E-3</v>
      </c>
      <c r="O140" s="67">
        <v>902000000000</v>
      </c>
      <c r="P140" s="67">
        <v>10600000000</v>
      </c>
      <c r="Q140" t="s">
        <v>64</v>
      </c>
      <c r="R140" s="69">
        <v>50</v>
      </c>
      <c r="S140" s="58">
        <v>50</v>
      </c>
      <c r="T140" s="55">
        <v>10900</v>
      </c>
      <c r="U140" s="54">
        <v>3.0999999999999999E-3</v>
      </c>
      <c r="V140" s="101" t="s">
        <v>363</v>
      </c>
    </row>
    <row r="141" spans="1:22">
      <c r="A141" s="69" t="s">
        <v>366</v>
      </c>
      <c r="B141" s="1" t="s">
        <v>365</v>
      </c>
      <c r="C141">
        <v>177</v>
      </c>
      <c r="D141">
        <f>209/2</f>
        <v>104.5</v>
      </c>
      <c r="E141">
        <v>127</v>
      </c>
      <c r="F141" s="1">
        <v>1322.9</v>
      </c>
      <c r="G141">
        <v>15.7</v>
      </c>
      <c r="H141">
        <v>8.5</v>
      </c>
      <c r="I141" s="1">
        <v>25</v>
      </c>
      <c r="J141" s="59">
        <v>90</v>
      </c>
      <c r="K141">
        <v>95.7</v>
      </c>
      <c r="L141" s="1">
        <v>90</v>
      </c>
      <c r="M141" s="59">
        <v>2.1</v>
      </c>
      <c r="N141" s="67">
        <v>3.0800000000000003E-5</v>
      </c>
      <c r="O141" s="84">
        <v>100000000000</v>
      </c>
      <c r="P141" s="40">
        <v>10000000000</v>
      </c>
      <c r="Q141" t="s">
        <v>64</v>
      </c>
      <c r="R141" s="69">
        <v>50</v>
      </c>
      <c r="S141" s="58">
        <v>25</v>
      </c>
      <c r="T141" s="55">
        <v>2170</v>
      </c>
      <c r="U141" s="54">
        <v>1.8499999999999999E-2</v>
      </c>
      <c r="V141" s="101" t="s">
        <v>367</v>
      </c>
    </row>
    <row r="142" spans="1:22">
      <c r="A142" s="69" t="s">
        <v>368</v>
      </c>
      <c r="B142" s="1" t="s">
        <v>369</v>
      </c>
      <c r="C142">
        <v>200.9</v>
      </c>
      <c r="D142">
        <v>207</v>
      </c>
      <c r="E142">
        <v>127</v>
      </c>
      <c r="F142" s="1">
        <v>1116.7</v>
      </c>
      <c r="G142">
        <v>12.6</v>
      </c>
      <c r="H142">
        <v>12.7</v>
      </c>
      <c r="I142" s="1">
        <v>32.6</v>
      </c>
      <c r="J142" s="59">
        <v>90</v>
      </c>
      <c r="K142">
        <v>93.8</v>
      </c>
      <c r="L142" s="1">
        <v>90</v>
      </c>
      <c r="M142" s="59">
        <v>2.2999999999999998</v>
      </c>
      <c r="N142" s="67">
        <v>1.03E-4</v>
      </c>
      <c r="O142" s="84">
        <v>10000000000</v>
      </c>
      <c r="P142" s="40">
        <v>2080000000</v>
      </c>
      <c r="Q142" t="s">
        <v>64</v>
      </c>
      <c r="R142" s="69">
        <v>50</v>
      </c>
      <c r="S142">
        <v>80</v>
      </c>
      <c r="T142" s="55">
        <v>1003</v>
      </c>
      <c r="U142" s="54">
        <v>0.36599999999999999</v>
      </c>
      <c r="V142" s="101" t="s">
        <v>370</v>
      </c>
    </row>
    <row r="143" spans="1:22">
      <c r="A143" s="69" t="s">
        <v>366</v>
      </c>
      <c r="B143" s="1" t="s">
        <v>371</v>
      </c>
      <c r="C143">
        <f>F143-5*E143-209</f>
        <v>112.60000000000002</v>
      </c>
      <c r="D143">
        <v>209</v>
      </c>
      <c r="E143">
        <v>127</v>
      </c>
      <c r="F143" s="1">
        <v>956.6</v>
      </c>
      <c r="G143">
        <v>8.4</v>
      </c>
      <c r="H143">
        <v>10.3</v>
      </c>
      <c r="I143" s="1">
        <v>11.6</v>
      </c>
      <c r="J143" s="59">
        <v>64.5</v>
      </c>
      <c r="K143">
        <v>73.900000000000006</v>
      </c>
      <c r="L143" s="1">
        <v>74.3</v>
      </c>
      <c r="M143" s="59">
        <v>2</v>
      </c>
      <c r="N143" s="67">
        <v>2.81E-4</v>
      </c>
      <c r="O143" s="67">
        <v>230000000000</v>
      </c>
      <c r="P143" s="40">
        <v>10000000000</v>
      </c>
      <c r="Q143" t="s">
        <v>64</v>
      </c>
      <c r="R143" s="69">
        <v>50</v>
      </c>
      <c r="S143">
        <v>10</v>
      </c>
      <c r="T143" s="55">
        <v>1230</v>
      </c>
      <c r="U143" s="54">
        <v>3.6400000000000002E-2</v>
      </c>
      <c r="V143" s="101" t="s">
        <v>372</v>
      </c>
    </row>
    <row r="144" spans="1:22">
      <c r="A144" s="69" t="s">
        <v>368</v>
      </c>
      <c r="B144" s="1" t="s">
        <v>375</v>
      </c>
      <c r="C144">
        <f>F144-320-D143</f>
        <v>108</v>
      </c>
      <c r="D144">
        <v>207</v>
      </c>
      <c r="E144">
        <v>80</v>
      </c>
      <c r="F144" s="1">
        <v>637</v>
      </c>
      <c r="G144">
        <v>17.399999999999999</v>
      </c>
      <c r="H144">
        <v>8.1999999999999993</v>
      </c>
      <c r="I144" s="1">
        <v>18.7</v>
      </c>
      <c r="J144" s="59">
        <v>90</v>
      </c>
      <c r="K144" s="59">
        <v>90</v>
      </c>
      <c r="L144" s="59">
        <v>90</v>
      </c>
      <c r="M144" s="59">
        <v>2.74</v>
      </c>
      <c r="N144" s="67">
        <v>1.25E-3</v>
      </c>
      <c r="O144" s="67">
        <v>175000000000</v>
      </c>
      <c r="P144" s="40">
        <v>10000000000</v>
      </c>
      <c r="Q144" s="52" t="s">
        <v>147</v>
      </c>
      <c r="R144" s="69">
        <v>50</v>
      </c>
      <c r="S144">
        <v>1350</v>
      </c>
      <c r="T144" s="55">
        <v>3933.8</v>
      </c>
      <c r="U144" s="54">
        <v>4.1700000000000001E-3</v>
      </c>
      <c r="V144" s="101" t="s">
        <v>373</v>
      </c>
    </row>
    <row r="145" spans="1:22">
      <c r="A145" t="s">
        <v>368</v>
      </c>
      <c r="B145" s="1" t="s">
        <v>374</v>
      </c>
      <c r="C145">
        <f>288/2</f>
        <v>144</v>
      </c>
      <c r="D145">
        <v>207</v>
      </c>
      <c r="E145">
        <v>35.5</v>
      </c>
      <c r="F145" s="1">
        <v>637</v>
      </c>
      <c r="G145">
        <v>34.9</v>
      </c>
      <c r="H145">
        <v>7.9</v>
      </c>
      <c r="I145" s="1">
        <v>7.7</v>
      </c>
      <c r="J145" s="59">
        <v>90</v>
      </c>
      <c r="K145" s="59">
        <v>90</v>
      </c>
      <c r="L145" s="59">
        <v>90</v>
      </c>
      <c r="M145" s="59">
        <v>3.22</v>
      </c>
      <c r="N145" s="67">
        <v>3.9399999999999998E-4</v>
      </c>
      <c r="O145" s="67">
        <v>16100000000</v>
      </c>
      <c r="P145" s="40">
        <v>10000000000</v>
      </c>
      <c r="Q145" t="s">
        <v>64</v>
      </c>
      <c r="R145" s="69">
        <v>50</v>
      </c>
      <c r="S145">
        <v>0</v>
      </c>
      <c r="T145" s="55">
        <v>293</v>
      </c>
      <c r="V145" s="101" t="s">
        <v>376</v>
      </c>
    </row>
    <row r="146" spans="1:22">
      <c r="A146" s="69" t="s">
        <v>366</v>
      </c>
      <c r="B146" s="1" t="s">
        <v>377</v>
      </c>
      <c r="C146">
        <v>277</v>
      </c>
      <c r="D146">
        <v>209</v>
      </c>
      <c r="E146">
        <v>127</v>
      </c>
      <c r="F146" s="1">
        <v>2393</v>
      </c>
      <c r="G146" s="1">
        <v>24.2</v>
      </c>
      <c r="H146" s="59">
        <v>14.8</v>
      </c>
      <c r="I146" s="1">
        <v>19</v>
      </c>
      <c r="J146" s="4">
        <v>90</v>
      </c>
      <c r="K146" s="117">
        <v>93.1</v>
      </c>
      <c r="L146" s="1">
        <v>90</v>
      </c>
      <c r="M146" s="59">
        <v>3</v>
      </c>
      <c r="N146" s="67">
        <v>1.8799999999999999E-4</v>
      </c>
      <c r="O146" s="84">
        <v>100000000000</v>
      </c>
      <c r="P146" s="40">
        <v>10000000000</v>
      </c>
      <c r="Q146" t="s">
        <v>64</v>
      </c>
      <c r="R146" s="69">
        <v>50</v>
      </c>
      <c r="S146">
        <v>400</v>
      </c>
      <c r="T146" s="55">
        <v>7601</v>
      </c>
      <c r="U146" s="54">
        <v>1.9E-2</v>
      </c>
      <c r="V146" s="101" t="s">
        <v>378</v>
      </c>
    </row>
    <row r="147" spans="1:22">
      <c r="A147" t="s">
        <v>368</v>
      </c>
      <c r="B147" s="1" t="s">
        <v>380</v>
      </c>
      <c r="C147">
        <f>F147-320-209</f>
        <v>259</v>
      </c>
      <c r="D147">
        <v>207</v>
      </c>
      <c r="E147">
        <v>80</v>
      </c>
      <c r="F147" s="1">
        <v>788</v>
      </c>
      <c r="G147">
        <v>8.08</v>
      </c>
      <c r="H147">
        <v>8.32</v>
      </c>
      <c r="I147" s="1">
        <v>30.7</v>
      </c>
      <c r="J147" s="4">
        <v>90</v>
      </c>
      <c r="K147" s="117">
        <v>90.12</v>
      </c>
      <c r="L147" s="1">
        <v>90</v>
      </c>
      <c r="M147" s="59">
        <v>2.98</v>
      </c>
      <c r="N147" s="67">
        <v>1.1E-4</v>
      </c>
      <c r="O147" s="67">
        <v>159000000000</v>
      </c>
      <c r="P147" s="40">
        <v>10000000000</v>
      </c>
      <c r="Q147" t="s">
        <v>64</v>
      </c>
      <c r="R147" s="69">
        <v>50</v>
      </c>
      <c r="S147">
        <v>50</v>
      </c>
      <c r="T147" s="55">
        <v>2653.7</v>
      </c>
      <c r="U147" s="54">
        <v>2.1700000000000001E-2</v>
      </c>
      <c r="V147" s="101" t="s">
        <v>381</v>
      </c>
    </row>
    <row r="148" spans="1:22">
      <c r="A148" s="69" t="s">
        <v>368</v>
      </c>
      <c r="B148" s="1" t="s">
        <v>382</v>
      </c>
      <c r="C148">
        <v>115</v>
      </c>
      <c r="D148">
        <v>207</v>
      </c>
      <c r="E148">
        <v>80</v>
      </c>
      <c r="F148" s="1">
        <v>643</v>
      </c>
      <c r="G148">
        <v>10.5</v>
      </c>
      <c r="H148">
        <v>12.4</v>
      </c>
      <c r="I148" s="1">
        <v>16.399999999999999</v>
      </c>
      <c r="J148" s="59">
        <v>90</v>
      </c>
      <c r="K148">
        <v>96.7</v>
      </c>
      <c r="L148" s="1">
        <v>90</v>
      </c>
      <c r="M148" s="59">
        <v>3.09</v>
      </c>
      <c r="N148" s="67">
        <v>1.8E-3</v>
      </c>
      <c r="O148" s="67">
        <v>7240000000</v>
      </c>
      <c r="P148" s="40">
        <v>10000000000</v>
      </c>
      <c r="Q148" s="52" t="s">
        <v>147</v>
      </c>
      <c r="R148" s="69">
        <v>70</v>
      </c>
      <c r="S148">
        <v>1400</v>
      </c>
      <c r="T148" s="55">
        <v>6800</v>
      </c>
      <c r="U148" s="54">
        <v>5.3E-3</v>
      </c>
      <c r="V148" s="101" t="s">
        <v>383</v>
      </c>
    </row>
    <row r="149" spans="1:22">
      <c r="A149" s="69" t="s">
        <v>368</v>
      </c>
      <c r="B149" s="1" t="s">
        <v>384</v>
      </c>
      <c r="C149">
        <f>F149-4*E149-D148</f>
        <v>111</v>
      </c>
      <c r="D149">
        <v>207</v>
      </c>
      <c r="E149">
        <v>127</v>
      </c>
      <c r="F149" s="1">
        <v>826</v>
      </c>
      <c r="G149">
        <v>8.9</v>
      </c>
      <c r="H149">
        <v>19.899999999999999</v>
      </c>
      <c r="I149" s="1">
        <v>9</v>
      </c>
      <c r="J149" s="59">
        <v>90</v>
      </c>
      <c r="K149">
        <v>92.1</v>
      </c>
      <c r="L149" s="1">
        <v>90</v>
      </c>
      <c r="M149" s="59">
        <v>1.78</v>
      </c>
      <c r="N149" s="67">
        <v>3.4199999999999999E-3</v>
      </c>
      <c r="O149" s="84">
        <v>10000000000</v>
      </c>
      <c r="P149" s="89">
        <v>1820000000</v>
      </c>
      <c r="Q149" t="s">
        <v>64</v>
      </c>
      <c r="R149" s="69">
        <v>40</v>
      </c>
      <c r="S149">
        <v>30</v>
      </c>
      <c r="T149" s="55">
        <v>7737</v>
      </c>
      <c r="U149" s="54">
        <v>1.9400000000000001E-3</v>
      </c>
      <c r="V149" s="101" t="s">
        <v>385</v>
      </c>
    </row>
    <row r="150" spans="1:22">
      <c r="A150" t="s">
        <v>137</v>
      </c>
      <c r="B150" s="1" t="s">
        <v>386</v>
      </c>
      <c r="C150">
        <f>F150-240-D149</f>
        <v>47</v>
      </c>
      <c r="D150">
        <v>207</v>
      </c>
      <c r="E150">
        <v>80</v>
      </c>
      <c r="F150" s="1">
        <v>494</v>
      </c>
      <c r="G150">
        <v>6</v>
      </c>
      <c r="H150">
        <v>11.8</v>
      </c>
      <c r="I150" s="1">
        <v>11.9</v>
      </c>
      <c r="J150" s="59">
        <v>90</v>
      </c>
      <c r="K150">
        <v>92.4</v>
      </c>
      <c r="L150" s="1">
        <v>90</v>
      </c>
      <c r="M150" s="59">
        <v>2.4900000000000002</v>
      </c>
      <c r="N150" s="67">
        <v>1.1000000000000001E-3</v>
      </c>
      <c r="O150" s="84">
        <v>5000000000</v>
      </c>
      <c r="P150" s="67">
        <v>27000000000</v>
      </c>
      <c r="Q150" t="s">
        <v>64</v>
      </c>
      <c r="R150" s="69">
        <v>50</v>
      </c>
      <c r="S150">
        <v>100</v>
      </c>
      <c r="T150" s="55">
        <v>5428</v>
      </c>
      <c r="U150" s="54">
        <v>0.51400000000000001</v>
      </c>
      <c r="V150" s="101" t="s">
        <v>389</v>
      </c>
    </row>
    <row r="151" spans="1:22">
      <c r="A151" s="69" t="s">
        <v>368</v>
      </c>
      <c r="B151" s="1" t="s">
        <v>387</v>
      </c>
      <c r="C151">
        <v>133</v>
      </c>
      <c r="D151">
        <v>207</v>
      </c>
      <c r="E151">
        <v>80</v>
      </c>
      <c r="F151" s="1">
        <v>947</v>
      </c>
      <c r="G151">
        <v>8.48</v>
      </c>
      <c r="H151">
        <v>8.48</v>
      </c>
      <c r="I151" s="1">
        <v>15.8</v>
      </c>
      <c r="J151" s="59">
        <v>90</v>
      </c>
      <c r="K151">
        <v>90</v>
      </c>
      <c r="L151">
        <v>90</v>
      </c>
      <c r="M151" s="59">
        <v>3.06</v>
      </c>
      <c r="N151" s="67">
        <v>5.1200000000000002E-2</v>
      </c>
      <c r="O151" s="67">
        <v>1190000000</v>
      </c>
      <c r="P151" s="67">
        <v>12000000000</v>
      </c>
      <c r="Q151" t="s">
        <v>64</v>
      </c>
      <c r="R151" s="69">
        <v>40</v>
      </c>
      <c r="S151">
        <v>50</v>
      </c>
      <c r="T151" s="55">
        <v>8865.6</v>
      </c>
      <c r="U151" s="54">
        <v>1.2699999999999999E-2</v>
      </c>
      <c r="V151" s="101" t="s">
        <v>388</v>
      </c>
    </row>
    <row r="152" spans="1:22">
      <c r="A152" s="69" t="s">
        <v>361</v>
      </c>
      <c r="B152" s="1" t="s">
        <v>390</v>
      </c>
      <c r="C152">
        <v>102</v>
      </c>
      <c r="D152">
        <v>209</v>
      </c>
      <c r="E152">
        <v>127</v>
      </c>
      <c r="F152" s="1">
        <v>946</v>
      </c>
      <c r="G152">
        <v>8.5</v>
      </c>
      <c r="H152">
        <v>11.7</v>
      </c>
      <c r="I152" s="1">
        <v>17.8</v>
      </c>
      <c r="J152" s="59">
        <v>90</v>
      </c>
      <c r="K152">
        <v>90</v>
      </c>
      <c r="L152">
        <v>90</v>
      </c>
      <c r="M152" s="59">
        <v>1.92</v>
      </c>
      <c r="N152" s="67">
        <v>1.8799999999999999E-4</v>
      </c>
      <c r="O152" s="84">
        <v>10000000000</v>
      </c>
      <c r="P152" s="67">
        <v>12100000000</v>
      </c>
      <c r="Q152" t="s">
        <v>64</v>
      </c>
      <c r="R152" s="69">
        <v>10</v>
      </c>
      <c r="S152">
        <v>50</v>
      </c>
      <c r="T152" s="55">
        <v>236.6</v>
      </c>
      <c r="U152" s="54">
        <v>4.3499999999999996</v>
      </c>
      <c r="V152" s="101" t="s">
        <v>393</v>
      </c>
    </row>
    <row r="153" spans="1:22">
      <c r="A153" s="69" t="s">
        <v>368</v>
      </c>
      <c r="B153" s="1" t="s">
        <v>391</v>
      </c>
      <c r="C153">
        <f>853-127*5-18</f>
        <v>200</v>
      </c>
      <c r="D153">
        <v>18</v>
      </c>
      <c r="E153">
        <v>127</v>
      </c>
      <c r="F153" s="1">
        <v>853</v>
      </c>
      <c r="G153">
        <v>17</v>
      </c>
      <c r="H153">
        <v>10.7</v>
      </c>
      <c r="I153" s="1">
        <v>13.8</v>
      </c>
      <c r="J153" s="59">
        <v>90</v>
      </c>
      <c r="K153">
        <v>109</v>
      </c>
      <c r="L153" s="1">
        <v>90</v>
      </c>
      <c r="M153" s="59">
        <v>4.95</v>
      </c>
      <c r="N153" s="67">
        <v>3.2499999999999999E-4</v>
      </c>
      <c r="O153" s="84">
        <v>100000000000</v>
      </c>
      <c r="P153" s="40">
        <v>10000000000</v>
      </c>
      <c r="Q153" s="52" t="s">
        <v>147</v>
      </c>
      <c r="R153" s="69">
        <v>40</v>
      </c>
      <c r="S153">
        <v>333</v>
      </c>
      <c r="T153" s="55">
        <v>756</v>
      </c>
      <c r="U153" s="54">
        <v>0.49</v>
      </c>
      <c r="V153" s="101" t="s">
        <v>392</v>
      </c>
    </row>
    <row r="154" spans="1:22">
      <c r="A154" s="69" t="s">
        <v>368</v>
      </c>
      <c r="B154" s="1" t="s">
        <v>394</v>
      </c>
      <c r="C154">
        <f>F154-320-E153</f>
        <v>184</v>
      </c>
      <c r="D154">
        <v>207</v>
      </c>
      <c r="E154">
        <v>80</v>
      </c>
      <c r="F154" s="1">
        <v>631</v>
      </c>
      <c r="G154">
        <v>21.2</v>
      </c>
      <c r="H154">
        <v>8.3000000000000007</v>
      </c>
      <c r="I154" s="1">
        <v>8.4</v>
      </c>
      <c r="J154" s="59">
        <v>90</v>
      </c>
      <c r="K154">
        <v>99.5</v>
      </c>
      <c r="L154" s="1">
        <v>90</v>
      </c>
      <c r="M154" s="59">
        <v>2.67</v>
      </c>
      <c r="N154" s="67">
        <v>7.3899999999999997E-4</v>
      </c>
      <c r="O154" s="84">
        <v>10000000000</v>
      </c>
      <c r="P154" s="40">
        <v>10000000000</v>
      </c>
      <c r="Q154" t="s">
        <v>395</v>
      </c>
      <c r="R154" s="69">
        <v>35</v>
      </c>
      <c r="S154">
        <v>22</v>
      </c>
      <c r="T154" s="55">
        <v>663</v>
      </c>
      <c r="U154" s="54">
        <v>1.44</v>
      </c>
      <c r="V154" s="101" t="s">
        <v>396</v>
      </c>
    </row>
    <row r="155" spans="1:22">
      <c r="A155" s="69" t="s">
        <v>398</v>
      </c>
      <c r="B155" s="1" t="s">
        <v>397</v>
      </c>
      <c r="C155">
        <f>388/2</f>
        <v>194</v>
      </c>
      <c r="D155">
        <v>207</v>
      </c>
      <c r="E155">
        <v>127</v>
      </c>
      <c r="F155" s="1">
        <v>2856</v>
      </c>
      <c r="G155">
        <v>21.1</v>
      </c>
      <c r="H155">
        <v>21.2</v>
      </c>
      <c r="I155" s="1">
        <v>6.4</v>
      </c>
      <c r="J155" s="59">
        <v>90</v>
      </c>
      <c r="K155">
        <v>90</v>
      </c>
      <c r="L155">
        <v>90</v>
      </c>
      <c r="M155" s="59">
        <v>1.83</v>
      </c>
      <c r="N155" s="67">
        <v>1.1E-4</v>
      </c>
      <c r="O155" s="84">
        <v>10000000000</v>
      </c>
      <c r="P155" s="40">
        <v>10000000000</v>
      </c>
      <c r="Q155" t="s">
        <v>64</v>
      </c>
      <c r="R155" s="69">
        <v>50</v>
      </c>
      <c r="S155">
        <v>0</v>
      </c>
      <c r="T155" s="55">
        <v>107</v>
      </c>
      <c r="U155" s="54">
        <v>0.28899999999999998</v>
      </c>
      <c r="V155" s="105" t="s">
        <v>399</v>
      </c>
    </row>
    <row r="156" spans="1:22">
      <c r="A156" s="69" t="s">
        <v>402</v>
      </c>
      <c r="B156" s="1" t="s">
        <v>401</v>
      </c>
      <c r="C156">
        <f>32</f>
        <v>32</v>
      </c>
      <c r="D156">
        <v>52</v>
      </c>
      <c r="E156">
        <v>127</v>
      </c>
      <c r="F156" s="1">
        <v>466</v>
      </c>
      <c r="G156">
        <v>8.5399999999999991</v>
      </c>
      <c r="H156">
        <v>8.5399999999999991</v>
      </c>
      <c r="I156" s="1">
        <v>11.2</v>
      </c>
      <c r="J156" s="59">
        <v>90</v>
      </c>
      <c r="K156">
        <v>90</v>
      </c>
      <c r="L156" s="1">
        <v>120</v>
      </c>
      <c r="M156" s="59">
        <v>1.86</v>
      </c>
      <c r="N156" s="67">
        <v>1.9E-2</v>
      </c>
      <c r="O156" s="67">
        <v>5840000000</v>
      </c>
      <c r="P156" s="67">
        <v>34000000000</v>
      </c>
      <c r="Q156" t="s">
        <v>64</v>
      </c>
      <c r="R156" s="69">
        <v>70</v>
      </c>
      <c r="S156" s="67">
        <v>100</v>
      </c>
      <c r="T156" s="55">
        <v>42825</v>
      </c>
      <c r="U156" s="54">
        <v>0.47799999999999998</v>
      </c>
      <c r="V156" s="105" t="s">
        <v>400</v>
      </c>
    </row>
    <row r="157" spans="1:22">
      <c r="A157" s="69"/>
      <c r="F157" s="1"/>
      <c r="G157"/>
      <c r="H157"/>
      <c r="I157" s="1"/>
      <c r="J157" s="59"/>
      <c r="K157"/>
      <c r="L157" s="1"/>
      <c r="M157" s="59"/>
      <c r="N157" s="67"/>
      <c r="O157" s="84"/>
      <c r="P157" s="40"/>
      <c r="R157" s="69"/>
      <c r="T157" s="55"/>
      <c r="U157" s="54"/>
      <c r="V157" s="105"/>
    </row>
    <row r="158" spans="1:22" s="76" customFormat="1" ht="17.399999999999999">
      <c r="A158" s="76" t="s">
        <v>132</v>
      </c>
      <c r="B158" s="77" t="s">
        <v>221</v>
      </c>
      <c r="C158" s="76">
        <v>140</v>
      </c>
      <c r="D158" s="76">
        <v>207</v>
      </c>
      <c r="E158" s="76">
        <v>127</v>
      </c>
      <c r="F158" s="76">
        <v>995</v>
      </c>
      <c r="G158" s="76">
        <v>34.643099999999997</v>
      </c>
      <c r="H158" s="76">
        <v>6.1150000000000002</v>
      </c>
      <c r="I158" s="76">
        <v>12.292199999999999</v>
      </c>
      <c r="J158" s="77">
        <v>90</v>
      </c>
      <c r="K158" s="76">
        <v>103.93</v>
      </c>
      <c r="L158" s="77">
        <v>90</v>
      </c>
      <c r="M158" s="76">
        <v>2.29</v>
      </c>
      <c r="N158" s="78">
        <v>1.8000000000000001E-4</v>
      </c>
      <c r="O158" s="78">
        <v>790000000000</v>
      </c>
      <c r="P158" s="78">
        <v>64000000000</v>
      </c>
      <c r="Q158" s="79" t="s">
        <v>147</v>
      </c>
      <c r="R158" s="78">
        <v>40</v>
      </c>
      <c r="S158" s="78">
        <v>2000</v>
      </c>
      <c r="T158" s="78">
        <v>1033.7</v>
      </c>
      <c r="U158" s="80">
        <v>1.4</v>
      </c>
      <c r="V158" s="104"/>
    </row>
    <row r="159" spans="1:22">
      <c r="F159" s="1"/>
      <c r="G159"/>
      <c r="H159"/>
      <c r="I159" s="1"/>
      <c r="J159"/>
      <c r="K159"/>
      <c r="L159" s="1"/>
    </row>
    <row r="160" spans="1:22">
      <c r="F160" s="1"/>
      <c r="G160"/>
      <c r="H160"/>
      <c r="I160" s="1"/>
      <c r="J160"/>
      <c r="K160"/>
      <c r="L160" s="1"/>
    </row>
    <row r="161" spans="2:21">
      <c r="F161" s="1"/>
      <c r="G161"/>
      <c r="H161"/>
      <c r="I161" s="1"/>
      <c r="J161"/>
      <c r="K161"/>
      <c r="L161" s="1"/>
    </row>
    <row r="162" spans="2:21">
      <c r="F162" s="1"/>
      <c r="G162"/>
      <c r="H162"/>
      <c r="I162" s="1"/>
      <c r="J162"/>
      <c r="K162"/>
      <c r="L162" s="1"/>
    </row>
    <row r="163" spans="2:21">
      <c r="F163" s="1"/>
      <c r="G163"/>
      <c r="H163"/>
      <c r="I163" s="1"/>
      <c r="J163"/>
      <c r="K163"/>
      <c r="L163" s="1"/>
    </row>
    <row r="164" spans="2:21">
      <c r="F164" s="1"/>
      <c r="G164"/>
      <c r="H164"/>
      <c r="I164" s="1"/>
      <c r="J164"/>
      <c r="K164"/>
      <c r="L164" s="1"/>
    </row>
    <row r="165" spans="2:21">
      <c r="F165" s="1"/>
      <c r="G165"/>
      <c r="H165"/>
      <c r="I165" s="1"/>
      <c r="J165"/>
      <c r="K165"/>
      <c r="L165" s="1"/>
    </row>
    <row r="166" spans="2:21">
      <c r="F166" s="1"/>
      <c r="G166"/>
      <c r="H166"/>
      <c r="I166" s="1"/>
      <c r="J166"/>
      <c r="K166"/>
      <c r="L166" s="1"/>
      <c r="U166">
        <f>10/0.45</f>
        <v>22.222222222222221</v>
      </c>
    </row>
    <row r="167" spans="2:21">
      <c r="F167" s="1"/>
      <c r="G167"/>
      <c r="H167"/>
      <c r="I167" s="1"/>
      <c r="J167"/>
      <c r="K167"/>
      <c r="L167" s="1"/>
    </row>
    <row r="168" spans="2:21">
      <c r="F168" s="1"/>
      <c r="G168"/>
      <c r="H168"/>
      <c r="I168" s="1"/>
      <c r="J168"/>
      <c r="K168"/>
      <c r="L168" s="1"/>
    </row>
    <row r="169" spans="2:21">
      <c r="F169" s="1"/>
      <c r="G169"/>
      <c r="H169"/>
      <c r="I169" s="1"/>
      <c r="J169"/>
      <c r="K169"/>
      <c r="L169" s="1"/>
    </row>
    <row r="170" spans="2:21">
      <c r="F170" s="1"/>
      <c r="G170"/>
      <c r="H170"/>
      <c r="I170" s="1"/>
      <c r="J170"/>
      <c r="K170"/>
      <c r="L170" s="1"/>
    </row>
    <row r="171" spans="2:21">
      <c r="B171" s="1" t="s">
        <v>343</v>
      </c>
      <c r="C171" t="s">
        <v>344</v>
      </c>
      <c r="D171" t="s">
        <v>345</v>
      </c>
      <c r="E171" t="s">
        <v>346</v>
      </c>
      <c r="F171" s="1" t="s">
        <v>347</v>
      </c>
      <c r="G171" t="s">
        <v>348</v>
      </c>
      <c r="H171" t="s">
        <v>349</v>
      </c>
      <c r="I171" s="1" t="s">
        <v>350</v>
      </c>
      <c r="J171" t="s">
        <v>351</v>
      </c>
      <c r="K171" t="s">
        <v>352</v>
      </c>
      <c r="L171" s="1" t="s">
        <v>353</v>
      </c>
      <c r="M171" t="s">
        <v>354</v>
      </c>
      <c r="N171" t="s">
        <v>355</v>
      </c>
      <c r="O171" t="s">
        <v>356</v>
      </c>
      <c r="P171" t="s">
        <v>357</v>
      </c>
    </row>
    <row r="172" spans="2:21">
      <c r="F172" s="1"/>
      <c r="G172"/>
      <c r="H172"/>
      <c r="I172" s="1"/>
      <c r="J172"/>
      <c r="K172"/>
      <c r="L172" s="1"/>
    </row>
    <row r="173" spans="2:21">
      <c r="F173" s="1"/>
      <c r="G173"/>
      <c r="H173"/>
      <c r="I173" s="1"/>
      <c r="J173"/>
      <c r="K173"/>
      <c r="L173" s="1"/>
    </row>
    <row r="174" spans="2:21">
      <c r="F174" s="1"/>
      <c r="G174"/>
      <c r="H174"/>
      <c r="I174" s="1"/>
      <c r="J174"/>
      <c r="K174"/>
      <c r="L174" s="1"/>
    </row>
    <row r="175" spans="2:21">
      <c r="F175" s="1"/>
      <c r="G175"/>
      <c r="H175"/>
      <c r="I175" s="1"/>
      <c r="J175"/>
      <c r="K175"/>
      <c r="L175" s="1"/>
    </row>
    <row r="176" spans="2:21">
      <c r="F176" s="1"/>
      <c r="G176"/>
      <c r="H176"/>
      <c r="I176" s="1"/>
      <c r="J176"/>
      <c r="K176"/>
      <c r="L176" s="1"/>
    </row>
    <row r="177" spans="6:14">
      <c r="F177" s="1"/>
      <c r="G177"/>
      <c r="H177"/>
      <c r="I177" s="1"/>
      <c r="J177"/>
      <c r="K177"/>
      <c r="L177" s="1"/>
    </row>
    <row r="178" spans="6:14" ht="22.8">
      <c r="F178" s="1"/>
      <c r="G178"/>
      <c r="H178"/>
      <c r="I178" s="1"/>
      <c r="J178"/>
      <c r="K178"/>
      <c r="L178" s="1"/>
      <c r="N178" s="106"/>
    </row>
    <row r="179" spans="6:14">
      <c r="F179" s="1"/>
      <c r="G179"/>
      <c r="H179"/>
      <c r="I179" s="1"/>
      <c r="J179"/>
      <c r="K179"/>
      <c r="L179" s="1"/>
    </row>
    <row r="180" spans="6:14">
      <c r="F180" s="1"/>
      <c r="G180"/>
      <c r="H180"/>
      <c r="I180" s="1"/>
      <c r="J180"/>
      <c r="K180"/>
      <c r="L180" s="1"/>
    </row>
    <row r="181" spans="6:14">
      <c r="F181" s="1"/>
      <c r="G181"/>
      <c r="H181"/>
      <c r="I181" s="1"/>
      <c r="J181"/>
      <c r="K181"/>
      <c r="L181" s="1"/>
    </row>
    <row r="182" spans="6:14">
      <c r="F182" s="1"/>
      <c r="G182"/>
      <c r="H182"/>
      <c r="I182" s="1"/>
      <c r="J182"/>
      <c r="K182"/>
      <c r="L182" s="1"/>
    </row>
    <row r="183" spans="6:14">
      <c r="F183" s="1"/>
      <c r="G183"/>
      <c r="H183"/>
      <c r="I183" s="1"/>
      <c r="J183"/>
      <c r="K183"/>
      <c r="L183" s="1"/>
    </row>
    <row r="184" spans="6:14">
      <c r="F184" s="1"/>
      <c r="G184"/>
      <c r="H184"/>
      <c r="I184" s="1"/>
      <c r="J184"/>
      <c r="K184"/>
      <c r="L184" s="1"/>
    </row>
    <row r="185" spans="6:14">
      <c r="F185" s="1"/>
      <c r="G185"/>
      <c r="H185"/>
      <c r="I185" s="1"/>
      <c r="J185"/>
      <c r="K185"/>
      <c r="L185" s="1"/>
    </row>
    <row r="186" spans="6:14">
      <c r="F186" s="1"/>
      <c r="G186"/>
      <c r="H186"/>
      <c r="I186" s="1"/>
      <c r="J186"/>
      <c r="K186"/>
      <c r="L186" s="1"/>
    </row>
    <row r="187" spans="6:14">
      <c r="F187" s="1"/>
      <c r="G187"/>
      <c r="H187"/>
      <c r="I187" s="1"/>
      <c r="J187"/>
      <c r="K187"/>
      <c r="L187" s="1"/>
    </row>
    <row r="188" spans="6:14">
      <c r="F188" s="1"/>
      <c r="G188"/>
      <c r="H188"/>
      <c r="I188" s="1"/>
      <c r="J188"/>
      <c r="K188"/>
      <c r="L188" s="1"/>
    </row>
    <row r="189" spans="6:14">
      <c r="F189" s="1"/>
      <c r="G189"/>
      <c r="H189"/>
      <c r="I189" s="1"/>
      <c r="J189"/>
      <c r="K189"/>
      <c r="L189" s="1"/>
    </row>
    <row r="190" spans="6:14">
      <c r="F190" s="1"/>
      <c r="G190"/>
      <c r="H190"/>
      <c r="I190" s="1"/>
      <c r="J190"/>
      <c r="K190"/>
      <c r="L190" s="1"/>
    </row>
    <row r="191" spans="6:14">
      <c r="F191" s="1"/>
      <c r="G191"/>
      <c r="H191"/>
      <c r="I191" s="1"/>
      <c r="J191"/>
      <c r="K191"/>
      <c r="L191" s="1"/>
    </row>
    <row r="192" spans="6:14">
      <c r="F192" s="1"/>
      <c r="G192"/>
      <c r="H192"/>
      <c r="I192" s="1"/>
      <c r="J192"/>
      <c r="K192"/>
      <c r="L192" s="1"/>
    </row>
    <row r="193" spans="6:12">
      <c r="F193" s="1"/>
      <c r="G193"/>
      <c r="H193"/>
      <c r="I193" s="1"/>
      <c r="J193"/>
      <c r="K193"/>
      <c r="L193" s="1"/>
    </row>
    <row r="194" spans="6:12">
      <c r="F194" s="1"/>
      <c r="G194"/>
      <c r="H194"/>
      <c r="I194" s="1"/>
      <c r="J194"/>
      <c r="K194"/>
      <c r="L194" s="1"/>
    </row>
    <row r="195" spans="6:12">
      <c r="F195" s="1"/>
      <c r="G195"/>
      <c r="H195"/>
      <c r="I195" s="1"/>
      <c r="J195"/>
      <c r="K195"/>
      <c r="L195" s="1"/>
    </row>
    <row r="196" spans="6:12">
      <c r="F196" s="1"/>
      <c r="G196"/>
      <c r="H196"/>
      <c r="I196" s="1"/>
      <c r="J196"/>
      <c r="K196"/>
      <c r="L196" s="1"/>
    </row>
    <row r="197" spans="6:12">
      <c r="F197" s="1"/>
      <c r="G197"/>
      <c r="H197"/>
      <c r="I197" s="1"/>
      <c r="J197"/>
      <c r="K197"/>
      <c r="L197" s="1"/>
    </row>
    <row r="198" spans="6:12">
      <c r="F198" s="1"/>
      <c r="G198"/>
      <c r="H198"/>
      <c r="I198" s="1"/>
      <c r="J198"/>
      <c r="K198"/>
      <c r="L198" s="1"/>
    </row>
    <row r="199" spans="6:12">
      <c r="F199" s="1"/>
      <c r="G199"/>
      <c r="H199"/>
      <c r="I199" s="1"/>
      <c r="J199"/>
      <c r="K199"/>
      <c r="L199" s="1"/>
    </row>
    <row r="200" spans="6:12">
      <c r="F200" s="1"/>
      <c r="G200"/>
      <c r="H200"/>
      <c r="I200" s="1"/>
      <c r="J200"/>
      <c r="K200"/>
      <c r="L200" s="1"/>
    </row>
    <row r="201" spans="6:12">
      <c r="F201" s="1"/>
      <c r="G201"/>
      <c r="H201"/>
      <c r="I201" s="1"/>
      <c r="J201"/>
      <c r="K201"/>
      <c r="L201" s="1"/>
    </row>
    <row r="202" spans="6:12">
      <c r="F202" s="1"/>
      <c r="G202"/>
      <c r="H202"/>
      <c r="I202" s="1"/>
      <c r="J202"/>
      <c r="K202"/>
      <c r="L202" s="1"/>
    </row>
    <row r="203" spans="6:12">
      <c r="F203" s="1"/>
      <c r="G203"/>
      <c r="H203"/>
      <c r="I203" s="1"/>
      <c r="J203"/>
      <c r="K203"/>
      <c r="L203" s="1"/>
    </row>
    <row r="204" spans="6:12">
      <c r="F204" s="1"/>
      <c r="G204"/>
      <c r="H204"/>
      <c r="I204" s="1"/>
      <c r="J204"/>
      <c r="K204"/>
      <c r="L204" s="1"/>
    </row>
    <row r="205" spans="6:12">
      <c r="F205" s="1"/>
      <c r="G205"/>
      <c r="H205"/>
      <c r="I205" s="1"/>
      <c r="J205"/>
      <c r="K205"/>
      <c r="L205" s="1"/>
    </row>
    <row r="206" spans="6:12">
      <c r="F206" s="1"/>
      <c r="G206"/>
      <c r="H206"/>
      <c r="I206" s="1"/>
      <c r="J206"/>
      <c r="K206"/>
      <c r="L206" s="1"/>
    </row>
    <row r="207" spans="6:12">
      <c r="F207" s="1"/>
      <c r="G207"/>
      <c r="H207"/>
      <c r="I207" s="1"/>
      <c r="J207"/>
      <c r="K207"/>
      <c r="L207" s="1"/>
    </row>
    <row r="208" spans="6:12">
      <c r="F208" s="1"/>
      <c r="G208"/>
      <c r="H208"/>
      <c r="I208" s="1"/>
      <c r="J208"/>
      <c r="K208"/>
      <c r="L208" s="1"/>
    </row>
    <row r="209" spans="6:12">
      <c r="F209" s="1"/>
      <c r="G209"/>
      <c r="H209"/>
      <c r="I209" s="1"/>
      <c r="J209"/>
      <c r="K209"/>
      <c r="L209" s="1"/>
    </row>
    <row r="210" spans="6:12">
      <c r="F210" s="1"/>
      <c r="G210"/>
      <c r="H210"/>
      <c r="I210" s="1"/>
      <c r="J210"/>
      <c r="K210"/>
      <c r="L210" s="1"/>
    </row>
    <row r="211" spans="6:12">
      <c r="F211" s="1"/>
      <c r="G211"/>
      <c r="H211"/>
      <c r="I211" s="1"/>
      <c r="J211"/>
      <c r="K211"/>
      <c r="L211" s="1"/>
    </row>
    <row r="212" spans="6:12">
      <c r="F212" s="1"/>
      <c r="G212"/>
      <c r="H212"/>
      <c r="I212" s="1"/>
      <c r="J212"/>
      <c r="K212"/>
      <c r="L212" s="1"/>
    </row>
    <row r="213" spans="6:12">
      <c r="F213" s="1"/>
      <c r="G213"/>
      <c r="H213"/>
      <c r="I213" s="1"/>
      <c r="J213"/>
      <c r="K213"/>
      <c r="L213" s="1"/>
    </row>
    <row r="214" spans="6:12">
      <c r="F214" s="1"/>
      <c r="G214"/>
      <c r="H214"/>
      <c r="I214" s="1"/>
      <c r="J214"/>
      <c r="K214"/>
      <c r="L214" s="1"/>
    </row>
    <row r="215" spans="6:12">
      <c r="F215" s="1"/>
      <c r="G215"/>
      <c r="H215"/>
      <c r="I215" s="1"/>
      <c r="J215"/>
      <c r="K215"/>
      <c r="L215" s="1"/>
    </row>
    <row r="216" spans="6:12">
      <c r="F216" s="1"/>
      <c r="G216"/>
      <c r="H216"/>
      <c r="I216" s="1"/>
      <c r="J216"/>
      <c r="K216"/>
      <c r="L216" s="1"/>
    </row>
    <row r="217" spans="6:12">
      <c r="F217" s="1"/>
      <c r="G217"/>
      <c r="H217"/>
      <c r="I217" s="1"/>
      <c r="J217"/>
      <c r="K217"/>
      <c r="L217" s="1"/>
    </row>
    <row r="218" spans="6:12">
      <c r="F218" s="1"/>
      <c r="G218"/>
      <c r="H218"/>
      <c r="I218" s="1"/>
      <c r="J218"/>
      <c r="K218"/>
      <c r="L218" s="1"/>
    </row>
    <row r="219" spans="6:12">
      <c r="F219" s="1"/>
      <c r="G219"/>
      <c r="H219"/>
      <c r="I219" s="1"/>
      <c r="J219"/>
      <c r="K219"/>
      <c r="L219" s="1"/>
    </row>
    <row r="220" spans="6:12">
      <c r="F220" s="1"/>
      <c r="G220"/>
      <c r="H220"/>
      <c r="I220" s="1"/>
      <c r="J220"/>
      <c r="K220"/>
      <c r="L220" s="1"/>
    </row>
    <row r="221" spans="6:12">
      <c r="F221" s="1"/>
      <c r="G221"/>
      <c r="H221"/>
      <c r="I221" s="1"/>
      <c r="J221"/>
      <c r="K221"/>
      <c r="L221" s="1"/>
    </row>
    <row r="222" spans="6:12">
      <c r="F222" s="1"/>
      <c r="G222"/>
      <c r="H222"/>
      <c r="I222" s="1"/>
      <c r="J222"/>
      <c r="K222"/>
      <c r="L222" s="1"/>
    </row>
    <row r="223" spans="6:12">
      <c r="F223" s="1"/>
      <c r="G223"/>
      <c r="H223"/>
      <c r="I223" s="1"/>
      <c r="J223"/>
      <c r="K223"/>
      <c r="L223" s="1"/>
    </row>
    <row r="224" spans="6:12">
      <c r="F224" s="1"/>
      <c r="G224"/>
      <c r="H224"/>
      <c r="I224" s="1"/>
      <c r="J224"/>
      <c r="K224"/>
      <c r="L224" s="1"/>
    </row>
    <row r="225" spans="6:12">
      <c r="F225" s="1"/>
      <c r="G225"/>
      <c r="H225"/>
      <c r="I225" s="1"/>
      <c r="J225"/>
      <c r="K225"/>
      <c r="L225" s="1"/>
    </row>
    <row r="226" spans="6:12">
      <c r="F226" s="1"/>
      <c r="G226"/>
      <c r="H226"/>
      <c r="I226" s="1"/>
      <c r="J226"/>
      <c r="K226"/>
      <c r="L226" s="1"/>
    </row>
    <row r="227" spans="6:12">
      <c r="F227" s="1"/>
      <c r="G227"/>
      <c r="H227"/>
      <c r="I227" s="1"/>
      <c r="J227"/>
      <c r="K227"/>
      <c r="L227" s="1"/>
    </row>
    <row r="228" spans="6:12">
      <c r="F228" s="1"/>
      <c r="G228"/>
      <c r="H228"/>
      <c r="I228" s="1"/>
      <c r="J228"/>
      <c r="K228"/>
      <c r="L228" s="1"/>
    </row>
    <row r="229" spans="6:12">
      <c r="F229" s="1"/>
      <c r="G229"/>
      <c r="H229"/>
      <c r="I229" s="1"/>
      <c r="J229"/>
      <c r="K229"/>
      <c r="L229" s="1"/>
    </row>
    <row r="230" spans="6:12">
      <c r="F230" s="1"/>
      <c r="G230"/>
      <c r="H230"/>
      <c r="I230" s="1"/>
      <c r="J230"/>
      <c r="K230"/>
      <c r="L230" s="1"/>
    </row>
    <row r="231" spans="6:12">
      <c r="F231" s="1"/>
      <c r="G231"/>
      <c r="H231"/>
      <c r="I231" s="1"/>
      <c r="J231"/>
      <c r="K231"/>
      <c r="L231" s="1"/>
    </row>
    <row r="232" spans="6:12">
      <c r="F232" s="1"/>
      <c r="G232"/>
      <c r="H232"/>
      <c r="I232" s="1"/>
      <c r="J232"/>
      <c r="K232"/>
      <c r="L232" s="1"/>
    </row>
    <row r="233" spans="6:12">
      <c r="F233" s="1"/>
      <c r="G233"/>
      <c r="H233"/>
      <c r="I233" s="1"/>
      <c r="J233"/>
      <c r="K233"/>
      <c r="L233" s="1"/>
    </row>
    <row r="234" spans="6:12">
      <c r="F234" s="1"/>
      <c r="G234"/>
      <c r="H234"/>
      <c r="I234" s="1"/>
      <c r="J234"/>
      <c r="K234"/>
      <c r="L234" s="1"/>
    </row>
    <row r="235" spans="6:12">
      <c r="F235" s="1"/>
      <c r="G235"/>
      <c r="H235"/>
      <c r="I235" s="1"/>
      <c r="J235"/>
      <c r="K235"/>
      <c r="L235" s="1"/>
    </row>
    <row r="236" spans="6:12">
      <c r="F236" s="1"/>
      <c r="G236"/>
      <c r="H236"/>
      <c r="I236" s="1"/>
      <c r="J236"/>
      <c r="K236"/>
      <c r="L236" s="1"/>
    </row>
    <row r="237" spans="6:12">
      <c r="F237" s="1"/>
      <c r="G237"/>
      <c r="H237"/>
      <c r="I237" s="1"/>
      <c r="J237"/>
      <c r="K237"/>
      <c r="L237" s="1"/>
    </row>
    <row r="238" spans="6:12">
      <c r="F238" s="1"/>
      <c r="G238"/>
      <c r="H238"/>
      <c r="I238" s="1"/>
      <c r="J238"/>
      <c r="K238"/>
      <c r="L238" s="1"/>
    </row>
    <row r="239" spans="6:12">
      <c r="F239" s="1"/>
      <c r="G239"/>
      <c r="H239"/>
      <c r="I239" s="1"/>
      <c r="J239"/>
      <c r="K239"/>
      <c r="L239" s="1"/>
    </row>
    <row r="240" spans="6:12">
      <c r="F240" s="1"/>
      <c r="G240"/>
      <c r="H240"/>
      <c r="I240" s="1"/>
      <c r="J240"/>
      <c r="K240"/>
      <c r="L240" s="1"/>
    </row>
    <row r="241" spans="6:12">
      <c r="F241" s="1"/>
      <c r="G241"/>
      <c r="H241"/>
      <c r="I241" s="1"/>
      <c r="J241"/>
      <c r="K241"/>
      <c r="L241" s="1"/>
    </row>
    <row r="242" spans="6:12">
      <c r="F242" s="1"/>
      <c r="G242"/>
      <c r="H242"/>
      <c r="I242" s="1"/>
      <c r="J242"/>
      <c r="K242"/>
      <c r="L242" s="1"/>
    </row>
    <row r="243" spans="6:12">
      <c r="F243" s="1"/>
      <c r="G243"/>
      <c r="H243"/>
      <c r="I243" s="1"/>
      <c r="J243"/>
      <c r="K243"/>
      <c r="L243" s="1"/>
    </row>
    <row r="244" spans="6:12">
      <c r="F244" s="1"/>
      <c r="G244"/>
      <c r="H244"/>
      <c r="I244" s="1"/>
      <c r="J244"/>
      <c r="K244"/>
      <c r="L244" s="1"/>
    </row>
    <row r="245" spans="6:12">
      <c r="F245" s="1"/>
      <c r="G245"/>
      <c r="H245"/>
      <c r="I245" s="1"/>
      <c r="J245"/>
      <c r="K245"/>
      <c r="L245" s="1"/>
    </row>
    <row r="246" spans="6:12">
      <c r="F246" s="1"/>
      <c r="G246"/>
      <c r="H246"/>
      <c r="I246" s="1"/>
      <c r="J246"/>
      <c r="K246"/>
      <c r="L246" s="1"/>
    </row>
    <row r="247" spans="6:12">
      <c r="F247" s="1"/>
      <c r="G247"/>
      <c r="H247"/>
      <c r="I247" s="1"/>
      <c r="J247"/>
      <c r="K247"/>
      <c r="L247" s="1"/>
    </row>
    <row r="248" spans="6:12">
      <c r="F248" s="1"/>
      <c r="G248"/>
      <c r="H248"/>
      <c r="I248" s="1"/>
      <c r="J248"/>
      <c r="K248"/>
      <c r="L248" s="1"/>
    </row>
    <row r="249" spans="6:12">
      <c r="F249" s="1"/>
      <c r="G249"/>
      <c r="H249"/>
      <c r="I249" s="1"/>
      <c r="J249"/>
      <c r="K249"/>
      <c r="L249" s="1"/>
    </row>
    <row r="250" spans="6:12">
      <c r="F250" s="1"/>
      <c r="G250"/>
      <c r="H250"/>
      <c r="I250" s="1"/>
      <c r="J250"/>
      <c r="K250"/>
      <c r="L250" s="1"/>
    </row>
    <row r="251" spans="6:12">
      <c r="F251" s="1"/>
      <c r="G251"/>
      <c r="H251"/>
      <c r="I251" s="1"/>
      <c r="J251"/>
      <c r="K251"/>
      <c r="L251" s="1"/>
    </row>
    <row r="252" spans="6:12">
      <c r="F252" s="1"/>
      <c r="G252"/>
      <c r="H252"/>
      <c r="I252" s="1"/>
      <c r="J252"/>
      <c r="K252"/>
      <c r="L252" s="1"/>
    </row>
    <row r="253" spans="6:12">
      <c r="F253" s="1"/>
      <c r="G253"/>
      <c r="H253"/>
      <c r="I253" s="1"/>
      <c r="J253"/>
      <c r="K253"/>
      <c r="L253" s="1"/>
    </row>
    <row r="254" spans="6:12">
      <c r="F254" s="1"/>
      <c r="G254"/>
      <c r="H254"/>
      <c r="I254" s="1"/>
      <c r="J254"/>
      <c r="K254"/>
      <c r="L254" s="1"/>
    </row>
    <row r="255" spans="6:12">
      <c r="F255" s="1"/>
      <c r="G255"/>
      <c r="H255"/>
      <c r="I255" s="1"/>
      <c r="J255"/>
      <c r="K255"/>
      <c r="L255" s="1"/>
    </row>
    <row r="256" spans="6:12">
      <c r="F256" s="1"/>
      <c r="G256"/>
      <c r="H256"/>
      <c r="I256" s="1"/>
      <c r="J256"/>
      <c r="K256"/>
      <c r="L256" s="1"/>
    </row>
    <row r="257" spans="6:12">
      <c r="F257" s="1"/>
      <c r="G257"/>
      <c r="H257"/>
      <c r="I257" s="1"/>
      <c r="J257"/>
      <c r="K257"/>
      <c r="L257" s="1"/>
    </row>
    <row r="258" spans="6:12">
      <c r="F258" s="1"/>
      <c r="G258"/>
      <c r="H258"/>
      <c r="I258" s="1"/>
      <c r="J258"/>
      <c r="K258"/>
      <c r="L258" s="1"/>
    </row>
    <row r="259" spans="6:12">
      <c r="F259" s="1"/>
      <c r="G259"/>
      <c r="H259"/>
      <c r="I259" s="1"/>
      <c r="J259"/>
      <c r="K259"/>
      <c r="L259" s="1"/>
    </row>
    <row r="260" spans="6:12">
      <c r="F260" s="1"/>
      <c r="G260"/>
      <c r="H260"/>
      <c r="I260" s="1"/>
      <c r="J260"/>
      <c r="K260"/>
      <c r="L260" s="1"/>
    </row>
    <row r="261" spans="6:12">
      <c r="F261" s="1"/>
      <c r="G261"/>
      <c r="H261"/>
      <c r="I261" s="1"/>
      <c r="J261"/>
      <c r="K261"/>
      <c r="L261" s="1"/>
    </row>
    <row r="262" spans="6:12">
      <c r="F262" s="1"/>
      <c r="G262"/>
      <c r="H262"/>
      <c r="I262" s="1"/>
      <c r="J262"/>
      <c r="K262"/>
      <c r="L262" s="1"/>
    </row>
    <row r="263" spans="6:12">
      <c r="F263" s="1"/>
      <c r="G263"/>
      <c r="H263"/>
      <c r="I263" s="1"/>
      <c r="J263"/>
      <c r="K263"/>
      <c r="L263" s="1"/>
    </row>
    <row r="264" spans="6:12">
      <c r="F264" s="1"/>
      <c r="G264"/>
      <c r="H264"/>
      <c r="I264" s="1"/>
      <c r="J264"/>
      <c r="K264"/>
      <c r="L264" s="1"/>
    </row>
    <row r="265" spans="6:12">
      <c r="F265" s="1"/>
      <c r="G265"/>
      <c r="H265"/>
      <c r="I265" s="1"/>
      <c r="J265"/>
      <c r="K265"/>
      <c r="L265" s="1"/>
    </row>
    <row r="266" spans="6:12">
      <c r="F266" s="1"/>
      <c r="G266"/>
      <c r="H266"/>
      <c r="I266" s="1"/>
      <c r="J266"/>
      <c r="K266"/>
      <c r="L266" s="1"/>
    </row>
    <row r="267" spans="6:12">
      <c r="F267" s="1"/>
      <c r="G267"/>
      <c r="H267"/>
      <c r="I267" s="1"/>
      <c r="J267"/>
      <c r="K267"/>
      <c r="L267" s="1"/>
    </row>
    <row r="268" spans="6:12">
      <c r="F268" s="1"/>
      <c r="G268"/>
      <c r="H268"/>
      <c r="I268" s="1"/>
      <c r="J268"/>
      <c r="K268"/>
      <c r="L268" s="1"/>
    </row>
    <row r="269" spans="6:12">
      <c r="F269" s="1"/>
      <c r="G269"/>
      <c r="H269"/>
      <c r="I269" s="1"/>
      <c r="J269"/>
      <c r="K269"/>
      <c r="L269" s="1"/>
    </row>
    <row r="270" spans="6:12">
      <c r="F270" s="1"/>
      <c r="G270"/>
      <c r="H270"/>
      <c r="I270" s="1"/>
      <c r="J270"/>
      <c r="K270"/>
      <c r="L270" s="1"/>
    </row>
    <row r="271" spans="6:12">
      <c r="F271" s="1"/>
      <c r="G271"/>
      <c r="H271"/>
      <c r="I271" s="1"/>
      <c r="J271"/>
      <c r="K271"/>
      <c r="L271" s="1"/>
    </row>
    <row r="272" spans="6:12">
      <c r="F272" s="1"/>
      <c r="G272"/>
      <c r="H272"/>
      <c r="I272" s="1"/>
      <c r="J272"/>
      <c r="K272"/>
      <c r="L272" s="1"/>
    </row>
    <row r="273" spans="6:12">
      <c r="F273" s="1"/>
      <c r="G273"/>
      <c r="H273"/>
      <c r="I273" s="1"/>
      <c r="J273"/>
      <c r="K273"/>
      <c r="L273" s="1"/>
    </row>
    <row r="274" spans="6:12">
      <c r="F274" s="1"/>
      <c r="G274"/>
      <c r="H274"/>
      <c r="I274" s="1"/>
      <c r="J274"/>
      <c r="K274"/>
      <c r="L274" s="1"/>
    </row>
    <row r="275" spans="6:12">
      <c r="F275" s="1"/>
      <c r="G275"/>
      <c r="H275"/>
      <c r="I275" s="1"/>
      <c r="J275"/>
      <c r="K275"/>
      <c r="L275" s="1"/>
    </row>
    <row r="276" spans="6:12">
      <c r="F276" s="1"/>
      <c r="G276"/>
      <c r="H276"/>
      <c r="I276" s="1"/>
      <c r="J276"/>
      <c r="K276"/>
      <c r="L276" s="1"/>
    </row>
    <row r="277" spans="6:12">
      <c r="F277" s="1"/>
      <c r="G277"/>
      <c r="H277"/>
      <c r="I277" s="1"/>
      <c r="J277"/>
      <c r="K277"/>
      <c r="L277" s="1"/>
    </row>
    <row r="278" spans="6:12">
      <c r="F278" s="1"/>
      <c r="G278"/>
      <c r="H278"/>
      <c r="I278" s="1"/>
      <c r="J278"/>
      <c r="K278"/>
      <c r="L278" s="1"/>
    </row>
    <row r="279" spans="6:12">
      <c r="F279" s="1"/>
      <c r="G279"/>
      <c r="H279"/>
      <c r="I279" s="1"/>
      <c r="J279"/>
      <c r="K279"/>
      <c r="L279" s="1"/>
    </row>
    <row r="280" spans="6:12">
      <c r="F280" s="1"/>
      <c r="G280"/>
      <c r="H280"/>
      <c r="I280" s="1"/>
      <c r="J280"/>
      <c r="K280"/>
      <c r="L280" s="1"/>
    </row>
    <row r="281" spans="6:12">
      <c r="F281" s="1"/>
      <c r="G281"/>
      <c r="H281"/>
      <c r="I281" s="1"/>
      <c r="J281"/>
      <c r="K281"/>
      <c r="L281" s="1"/>
    </row>
    <row r="282" spans="6:12">
      <c r="F282" s="1"/>
      <c r="G282"/>
      <c r="H282"/>
      <c r="I282" s="1"/>
      <c r="J282"/>
      <c r="K282"/>
      <c r="L282" s="1"/>
    </row>
    <row r="283" spans="6:12">
      <c r="F283" s="1"/>
      <c r="G283"/>
      <c r="H283"/>
      <c r="I283" s="1"/>
      <c r="J283"/>
      <c r="K283"/>
      <c r="L283" s="1"/>
    </row>
    <row r="284" spans="6:12">
      <c r="F284" s="1"/>
      <c r="G284"/>
      <c r="H284"/>
      <c r="I284" s="1"/>
      <c r="J284"/>
      <c r="K284"/>
      <c r="L284" s="1"/>
    </row>
    <row r="285" spans="6:12">
      <c r="F285" s="1"/>
      <c r="G285"/>
      <c r="H285"/>
      <c r="I285" s="1"/>
      <c r="J285"/>
      <c r="K285"/>
      <c r="L285" s="1"/>
    </row>
    <row r="286" spans="6:12">
      <c r="F286" s="1"/>
      <c r="G286"/>
      <c r="H286"/>
      <c r="I286" s="1"/>
      <c r="J286"/>
      <c r="K286"/>
      <c r="L286" s="1"/>
    </row>
    <row r="287" spans="6:12">
      <c r="F287" s="1"/>
      <c r="G287"/>
      <c r="H287"/>
      <c r="I287" s="1"/>
      <c r="J287"/>
      <c r="K287"/>
      <c r="L287" s="1"/>
    </row>
    <row r="288" spans="6:12">
      <c r="F288" s="1"/>
      <c r="G288"/>
      <c r="H288"/>
      <c r="I288" s="1"/>
      <c r="J288"/>
      <c r="K288"/>
      <c r="L288" s="1"/>
    </row>
    <row r="289" spans="6:12">
      <c r="F289" s="1"/>
      <c r="G289"/>
      <c r="H289"/>
      <c r="I289" s="1"/>
      <c r="J289"/>
      <c r="K289"/>
      <c r="L289" s="1"/>
    </row>
    <row r="290" spans="6:12">
      <c r="F290" s="1"/>
      <c r="G290"/>
      <c r="H290"/>
      <c r="I290" s="1"/>
      <c r="J290"/>
      <c r="K290"/>
      <c r="L290" s="1"/>
    </row>
    <row r="291" spans="6:12">
      <c r="F291" s="1"/>
      <c r="G291"/>
      <c r="H291"/>
      <c r="I291" s="1"/>
      <c r="J291"/>
      <c r="K291"/>
      <c r="L291" s="1"/>
    </row>
    <row r="292" spans="6:12">
      <c r="F292" s="1"/>
      <c r="G292"/>
      <c r="H292"/>
      <c r="I292" s="1"/>
      <c r="J292"/>
      <c r="K292"/>
      <c r="L292" s="1"/>
    </row>
    <row r="293" spans="6:12">
      <c r="F293" s="1"/>
      <c r="G293"/>
      <c r="H293"/>
      <c r="I293" s="1"/>
      <c r="J293"/>
      <c r="K293"/>
      <c r="L293" s="1"/>
    </row>
    <row r="294" spans="6:12">
      <c r="F294" s="1"/>
      <c r="G294"/>
      <c r="H294"/>
      <c r="I294" s="1"/>
      <c r="J294"/>
      <c r="K294"/>
      <c r="L294" s="1"/>
    </row>
    <row r="295" spans="6:12">
      <c r="F295" s="1"/>
      <c r="G295"/>
      <c r="H295"/>
      <c r="I295" s="1"/>
      <c r="J295"/>
      <c r="K295"/>
      <c r="L295" s="1"/>
    </row>
    <row r="296" spans="6:12">
      <c r="F296" s="1"/>
      <c r="G296"/>
      <c r="H296"/>
      <c r="I296" s="1"/>
      <c r="J296"/>
      <c r="K296"/>
      <c r="L296" s="1"/>
    </row>
    <row r="297" spans="6:12">
      <c r="F297" s="1"/>
      <c r="G297"/>
      <c r="H297"/>
      <c r="I297" s="1"/>
      <c r="J297"/>
      <c r="K297"/>
      <c r="L297" s="1"/>
    </row>
    <row r="298" spans="6:12">
      <c r="F298" s="1"/>
      <c r="G298"/>
      <c r="H298"/>
      <c r="I298" s="1"/>
      <c r="J298"/>
      <c r="K298"/>
      <c r="L298" s="1"/>
    </row>
    <row r="299" spans="6:12">
      <c r="F299" s="1"/>
      <c r="G299"/>
      <c r="H299"/>
      <c r="I299" s="1"/>
      <c r="J299"/>
      <c r="K299"/>
      <c r="L299" s="1"/>
    </row>
    <row r="300" spans="6:12">
      <c r="F300" s="1"/>
      <c r="G300"/>
      <c r="H300"/>
      <c r="I300" s="1"/>
      <c r="J300"/>
      <c r="K300"/>
      <c r="L300" s="1"/>
    </row>
    <row r="301" spans="6:12">
      <c r="F301" s="1"/>
      <c r="G301"/>
      <c r="H301"/>
      <c r="I301" s="1"/>
      <c r="J301"/>
      <c r="K301"/>
      <c r="L301" s="1"/>
    </row>
    <row r="302" spans="6:12">
      <c r="F302" s="1"/>
      <c r="G302"/>
      <c r="H302"/>
      <c r="I302" s="1"/>
      <c r="J302"/>
      <c r="K302"/>
      <c r="L302" s="1"/>
    </row>
    <row r="303" spans="6:12">
      <c r="F303" s="1"/>
      <c r="G303"/>
      <c r="H303"/>
      <c r="I303" s="1"/>
      <c r="J303"/>
      <c r="K303"/>
      <c r="L303" s="1"/>
    </row>
    <row r="304" spans="6:12">
      <c r="F304" s="1"/>
      <c r="G304"/>
      <c r="H304"/>
      <c r="I304" s="1"/>
      <c r="J304"/>
      <c r="K304"/>
      <c r="L304" s="1"/>
    </row>
    <row r="305" spans="6:12">
      <c r="F305" s="1"/>
      <c r="G305"/>
      <c r="H305"/>
      <c r="I305" s="1"/>
      <c r="J305"/>
      <c r="K305"/>
      <c r="L305" s="1"/>
    </row>
    <row r="306" spans="6:12">
      <c r="F306" s="1"/>
      <c r="G306"/>
      <c r="H306"/>
      <c r="I306" s="1"/>
      <c r="J306"/>
      <c r="K306"/>
      <c r="L306" s="1"/>
    </row>
    <row r="307" spans="6:12">
      <c r="F307" s="1"/>
      <c r="G307"/>
      <c r="H307"/>
      <c r="I307" s="1"/>
      <c r="J307"/>
      <c r="K307"/>
      <c r="L307" s="1"/>
    </row>
    <row r="308" spans="6:12">
      <c r="F308" s="1"/>
      <c r="G308"/>
      <c r="H308"/>
      <c r="I308" s="1"/>
      <c r="J308"/>
      <c r="K308"/>
      <c r="L308" s="1"/>
    </row>
    <row r="309" spans="6:12">
      <c r="F309" s="1"/>
      <c r="G309"/>
      <c r="H309"/>
      <c r="I309" s="1"/>
      <c r="J309"/>
      <c r="K309"/>
      <c r="L309" s="1"/>
    </row>
    <row r="310" spans="6:12">
      <c r="F310" s="1"/>
      <c r="G310"/>
      <c r="H310"/>
      <c r="I310" s="1"/>
      <c r="J310"/>
      <c r="K310"/>
      <c r="L310" s="1"/>
    </row>
    <row r="311" spans="6:12">
      <c r="F311" s="1"/>
      <c r="G311"/>
      <c r="H311"/>
      <c r="I311" s="1"/>
      <c r="J311"/>
      <c r="K311"/>
      <c r="L311" s="1"/>
    </row>
    <row r="312" spans="6:12">
      <c r="F312" s="1"/>
      <c r="G312"/>
      <c r="H312"/>
      <c r="I312" s="1"/>
      <c r="J312"/>
      <c r="K312"/>
      <c r="L312" s="1"/>
    </row>
    <row r="313" spans="6:12">
      <c r="F313" s="1"/>
      <c r="G313"/>
      <c r="H313"/>
      <c r="I313" s="1"/>
      <c r="J313"/>
      <c r="K313"/>
      <c r="L313" s="1"/>
    </row>
    <row r="314" spans="6:12">
      <c r="F314" s="1"/>
      <c r="G314"/>
      <c r="H314"/>
      <c r="I314" s="1"/>
      <c r="J314"/>
      <c r="K314"/>
      <c r="L314" s="1"/>
    </row>
    <row r="315" spans="6:12">
      <c r="F315" s="1"/>
      <c r="G315"/>
      <c r="H315"/>
      <c r="I315" s="1"/>
      <c r="J315"/>
      <c r="K315"/>
      <c r="L315" s="1"/>
    </row>
    <row r="316" spans="6:12">
      <c r="F316" s="1"/>
      <c r="G316"/>
      <c r="H316"/>
      <c r="I316" s="1"/>
      <c r="J316"/>
      <c r="K316"/>
      <c r="L316" s="1"/>
    </row>
    <row r="317" spans="6:12">
      <c r="F317" s="1"/>
      <c r="G317"/>
      <c r="H317"/>
      <c r="I317" s="1"/>
      <c r="J317"/>
      <c r="K317"/>
      <c r="L317" s="1"/>
    </row>
    <row r="318" spans="6:12">
      <c r="F318" s="1"/>
      <c r="G318"/>
      <c r="H318"/>
      <c r="I318" s="1"/>
      <c r="J318"/>
      <c r="K318"/>
      <c r="L318" s="1"/>
    </row>
    <row r="319" spans="6:12">
      <c r="F319" s="1"/>
      <c r="G319"/>
      <c r="H319"/>
      <c r="I319" s="1"/>
      <c r="J319"/>
      <c r="K319"/>
      <c r="L319" s="1"/>
    </row>
    <row r="320" spans="6:12">
      <c r="F320" s="1"/>
      <c r="G320"/>
      <c r="H320"/>
      <c r="I320" s="1"/>
      <c r="J320"/>
      <c r="K320"/>
      <c r="L320" s="1"/>
    </row>
    <row r="321" spans="6:12">
      <c r="F321" s="1"/>
      <c r="G321"/>
      <c r="H321"/>
      <c r="I321" s="1"/>
      <c r="J321"/>
      <c r="K321"/>
      <c r="L321" s="1"/>
    </row>
    <row r="322" spans="6:12">
      <c r="F322" s="1"/>
      <c r="G322"/>
      <c r="H322"/>
      <c r="I322" s="1"/>
      <c r="J322"/>
      <c r="K322"/>
      <c r="L322" s="1"/>
    </row>
    <row r="323" spans="6:12">
      <c r="F323" s="1"/>
      <c r="G323"/>
      <c r="H323"/>
      <c r="I323" s="1"/>
      <c r="J323"/>
      <c r="K323"/>
      <c r="L323" s="1"/>
    </row>
    <row r="324" spans="6:12">
      <c r="F324" s="1"/>
      <c r="G324"/>
      <c r="H324"/>
      <c r="I324" s="1"/>
      <c r="J324"/>
      <c r="K324"/>
      <c r="L324" s="1"/>
    </row>
    <row r="325" spans="6:12">
      <c r="F325" s="1"/>
      <c r="G325"/>
      <c r="H325"/>
      <c r="I325" s="1"/>
      <c r="J325"/>
      <c r="K325"/>
      <c r="L325" s="1"/>
    </row>
    <row r="326" spans="6:12">
      <c r="F326" s="1"/>
      <c r="G326"/>
      <c r="H326"/>
      <c r="I326" s="1"/>
      <c r="J326"/>
      <c r="K326"/>
      <c r="L326" s="1"/>
    </row>
    <row r="327" spans="6:12">
      <c r="F327" s="1"/>
      <c r="G327"/>
      <c r="H327"/>
      <c r="I327" s="1"/>
      <c r="J327"/>
      <c r="K327"/>
      <c r="L327" s="1"/>
    </row>
    <row r="328" spans="6:12">
      <c r="F328" s="1"/>
      <c r="G328"/>
      <c r="H328"/>
      <c r="I328" s="1"/>
      <c r="J328"/>
      <c r="K328"/>
      <c r="L328" s="1"/>
    </row>
    <row r="329" spans="6:12">
      <c r="F329" s="1"/>
      <c r="G329"/>
      <c r="H329"/>
      <c r="I329" s="1"/>
      <c r="J329"/>
      <c r="K329"/>
      <c r="L329" s="1"/>
    </row>
    <row r="330" spans="6:12">
      <c r="F330" s="1"/>
      <c r="G330"/>
      <c r="H330"/>
      <c r="I330" s="1"/>
      <c r="J330"/>
      <c r="K330"/>
      <c r="L330" s="1"/>
    </row>
    <row r="331" spans="6:12">
      <c r="F331" s="1"/>
      <c r="G331"/>
      <c r="H331"/>
      <c r="I331" s="1"/>
      <c r="J331"/>
      <c r="K331"/>
      <c r="L331" s="1"/>
    </row>
    <row r="332" spans="6:12">
      <c r="F332" s="1"/>
      <c r="G332"/>
      <c r="H332"/>
      <c r="I332" s="1"/>
      <c r="J332"/>
      <c r="K332"/>
      <c r="L332" s="1"/>
    </row>
    <row r="333" spans="6:12">
      <c r="F333" s="1"/>
      <c r="G333"/>
      <c r="H333"/>
      <c r="I333" s="1"/>
      <c r="J333"/>
      <c r="K333"/>
      <c r="L333" s="1"/>
    </row>
    <row r="334" spans="6:12">
      <c r="F334" s="1"/>
      <c r="G334"/>
      <c r="H334"/>
      <c r="I334" s="1"/>
      <c r="J334"/>
      <c r="K334"/>
      <c r="L334" s="1"/>
    </row>
    <row r="335" spans="6:12">
      <c r="F335" s="1"/>
      <c r="G335"/>
      <c r="H335"/>
      <c r="I335" s="1"/>
      <c r="J335"/>
      <c r="K335"/>
      <c r="L335" s="1"/>
    </row>
    <row r="336" spans="6:12">
      <c r="F336" s="1"/>
      <c r="G336"/>
      <c r="H336"/>
      <c r="I336" s="1"/>
      <c r="J336"/>
      <c r="K336"/>
      <c r="L336" s="1"/>
    </row>
    <row r="337" spans="6:12">
      <c r="F337" s="1"/>
      <c r="G337"/>
      <c r="H337"/>
      <c r="I337" s="1"/>
      <c r="J337"/>
      <c r="K337"/>
      <c r="L337" s="1"/>
    </row>
    <row r="338" spans="6:12">
      <c r="F338" s="1"/>
      <c r="G338"/>
      <c r="H338"/>
      <c r="I338" s="1"/>
      <c r="J338"/>
      <c r="K338"/>
      <c r="L338" s="1"/>
    </row>
    <row r="339" spans="6:12">
      <c r="F339" s="1"/>
      <c r="G339"/>
      <c r="H339"/>
      <c r="I339" s="1"/>
      <c r="J339"/>
      <c r="K339"/>
      <c r="L339" s="1"/>
    </row>
    <row r="340" spans="6:12">
      <c r="F340" s="1"/>
      <c r="G340"/>
      <c r="H340"/>
      <c r="I340" s="1"/>
      <c r="J340"/>
      <c r="K340"/>
      <c r="L340" s="1"/>
    </row>
    <row r="341" spans="6:12">
      <c r="F341" s="1"/>
      <c r="G341"/>
      <c r="H341"/>
      <c r="I341" s="1"/>
      <c r="J341"/>
      <c r="K341"/>
      <c r="L341" s="1"/>
    </row>
    <row r="342" spans="6:12">
      <c r="F342" s="1"/>
      <c r="G342"/>
      <c r="H342"/>
      <c r="I342" s="1"/>
      <c r="J342"/>
      <c r="K342"/>
      <c r="L342" s="1"/>
    </row>
    <row r="343" spans="6:12">
      <c r="F343" s="1"/>
      <c r="G343"/>
      <c r="H343"/>
      <c r="I343" s="1"/>
      <c r="J343"/>
      <c r="K343"/>
      <c r="L343" s="1"/>
    </row>
    <row r="344" spans="6:12">
      <c r="F344" s="1"/>
      <c r="G344"/>
      <c r="H344"/>
      <c r="I344" s="1"/>
      <c r="J344"/>
      <c r="K344"/>
      <c r="L344" s="1"/>
    </row>
    <row r="345" spans="6:12">
      <c r="F345" s="1"/>
      <c r="G345"/>
      <c r="H345"/>
      <c r="I345" s="1"/>
      <c r="J345"/>
      <c r="K345"/>
      <c r="L345" s="1"/>
    </row>
    <row r="346" spans="6:12">
      <c r="F346" s="1"/>
      <c r="G346"/>
      <c r="H346"/>
      <c r="I346" s="1"/>
      <c r="J346"/>
      <c r="K346"/>
      <c r="L346" s="1"/>
    </row>
    <row r="347" spans="6:12">
      <c r="F347" s="1"/>
      <c r="G347"/>
      <c r="H347"/>
      <c r="I347" s="1"/>
      <c r="J347"/>
      <c r="K347"/>
      <c r="L347" s="1"/>
    </row>
    <row r="348" spans="6:12">
      <c r="F348" s="1"/>
      <c r="G348"/>
      <c r="H348"/>
      <c r="I348" s="1"/>
      <c r="J348"/>
      <c r="K348"/>
      <c r="L348" s="1"/>
    </row>
    <row r="349" spans="6:12">
      <c r="F349" s="1"/>
      <c r="G349"/>
      <c r="H349"/>
      <c r="I349" s="1"/>
      <c r="J349"/>
      <c r="K349"/>
      <c r="L349" s="1"/>
    </row>
    <row r="350" spans="6:12">
      <c r="F350" s="1"/>
      <c r="G350"/>
      <c r="H350"/>
      <c r="I350" s="1"/>
      <c r="J350"/>
      <c r="K350"/>
      <c r="L350" s="1"/>
    </row>
    <row r="351" spans="6:12">
      <c r="F351" s="1"/>
      <c r="G351"/>
      <c r="H351"/>
      <c r="I351" s="1"/>
      <c r="J351"/>
      <c r="K351"/>
      <c r="L351" s="1"/>
    </row>
    <row r="352" spans="6:12">
      <c r="F352" s="1"/>
      <c r="G352"/>
      <c r="H352"/>
      <c r="I352" s="1"/>
      <c r="J352"/>
      <c r="K352"/>
      <c r="L352" s="1"/>
    </row>
    <row r="353" spans="6:12">
      <c r="F353" s="1"/>
      <c r="G353"/>
      <c r="H353"/>
      <c r="I353" s="1"/>
      <c r="J353"/>
      <c r="K353"/>
      <c r="L353" s="1"/>
    </row>
    <row r="354" spans="6:12">
      <c r="F354" s="1"/>
      <c r="G354"/>
      <c r="H354"/>
      <c r="I354" s="1"/>
      <c r="J354"/>
      <c r="K354"/>
      <c r="L354" s="1"/>
    </row>
    <row r="355" spans="6:12">
      <c r="F355" s="1"/>
      <c r="G355"/>
      <c r="H355"/>
      <c r="I355" s="1"/>
      <c r="J355"/>
      <c r="K355"/>
      <c r="L355" s="1"/>
    </row>
    <row r="356" spans="6:12">
      <c r="F356" s="1"/>
      <c r="G356"/>
      <c r="H356"/>
      <c r="I356" s="1"/>
      <c r="J356"/>
      <c r="K356"/>
      <c r="L356" s="1"/>
    </row>
    <row r="357" spans="6:12">
      <c r="F357" s="1"/>
      <c r="G357"/>
      <c r="H357"/>
      <c r="I357" s="1"/>
      <c r="J357"/>
      <c r="K357"/>
      <c r="L357" s="1"/>
    </row>
    <row r="358" spans="6:12">
      <c r="F358" s="1"/>
      <c r="G358"/>
      <c r="H358"/>
      <c r="I358" s="1"/>
      <c r="J358"/>
      <c r="K358"/>
      <c r="L358" s="1"/>
    </row>
    <row r="359" spans="6:12">
      <c r="F359" s="1"/>
      <c r="G359"/>
      <c r="H359"/>
      <c r="I359" s="1"/>
      <c r="J359"/>
      <c r="K359"/>
      <c r="L359" s="1"/>
    </row>
    <row r="360" spans="6:12">
      <c r="F360" s="1"/>
      <c r="G360"/>
      <c r="H360"/>
      <c r="I360" s="1"/>
      <c r="J360"/>
      <c r="K360"/>
      <c r="L360" s="1"/>
    </row>
    <row r="361" spans="6:12">
      <c r="F361" s="1"/>
      <c r="G361"/>
      <c r="H361"/>
      <c r="I361" s="1"/>
      <c r="J361"/>
      <c r="K361"/>
      <c r="L361" s="1"/>
    </row>
    <row r="362" spans="6:12">
      <c r="F362" s="1"/>
      <c r="G362"/>
      <c r="H362"/>
      <c r="I362" s="1"/>
      <c r="J362"/>
      <c r="K362"/>
      <c r="L362" s="1"/>
    </row>
    <row r="363" spans="6:12">
      <c r="F363" s="1"/>
      <c r="G363"/>
      <c r="H363"/>
      <c r="I363" s="1"/>
      <c r="J363"/>
      <c r="K363"/>
      <c r="L363" s="1"/>
    </row>
    <row r="364" spans="6:12">
      <c r="F364" s="1"/>
      <c r="G364"/>
      <c r="H364"/>
      <c r="I364" s="1"/>
      <c r="J364"/>
      <c r="K364"/>
      <c r="L364" s="1"/>
    </row>
    <row r="365" spans="6:12">
      <c r="F365" s="1"/>
      <c r="G365"/>
      <c r="H365"/>
      <c r="I365" s="1"/>
      <c r="J365"/>
      <c r="K365"/>
      <c r="L365" s="1"/>
    </row>
    <row r="366" spans="6:12">
      <c r="F366" s="1"/>
      <c r="G366"/>
      <c r="H366"/>
      <c r="I366" s="1"/>
      <c r="J366"/>
      <c r="K366"/>
      <c r="L366" s="1"/>
    </row>
    <row r="367" spans="6:12">
      <c r="F367" s="1"/>
      <c r="G367"/>
      <c r="H367"/>
      <c r="I367" s="1"/>
      <c r="J367"/>
      <c r="K367"/>
      <c r="L367" s="1"/>
    </row>
    <row r="368" spans="6:12">
      <c r="F368" s="1"/>
      <c r="G368"/>
      <c r="H368"/>
      <c r="I368" s="1"/>
      <c r="J368"/>
      <c r="K368"/>
      <c r="L368" s="1"/>
    </row>
    <row r="369" spans="6:12">
      <c r="F369" s="1"/>
      <c r="G369"/>
      <c r="H369"/>
      <c r="I369" s="1"/>
      <c r="J369"/>
      <c r="K369"/>
      <c r="L369" s="1"/>
    </row>
    <row r="370" spans="6:12">
      <c r="F370" s="1"/>
      <c r="G370"/>
      <c r="H370"/>
      <c r="I370" s="1"/>
      <c r="J370"/>
      <c r="K370"/>
      <c r="L370" s="1"/>
    </row>
    <row r="371" spans="6:12">
      <c r="F371" s="1"/>
      <c r="G371"/>
      <c r="H371"/>
      <c r="I371" s="1"/>
      <c r="J371"/>
      <c r="K371"/>
      <c r="L371" s="1"/>
    </row>
    <row r="372" spans="6:12">
      <c r="F372" s="1"/>
      <c r="G372"/>
      <c r="H372"/>
      <c r="I372" s="1"/>
      <c r="J372"/>
      <c r="K372"/>
      <c r="L372" s="1"/>
    </row>
    <row r="373" spans="6:12">
      <c r="F373" s="1"/>
      <c r="G373"/>
      <c r="H373"/>
      <c r="I373" s="1"/>
      <c r="J373"/>
      <c r="K373"/>
      <c r="L373" s="1"/>
    </row>
    <row r="374" spans="6:12">
      <c r="F374" s="1"/>
      <c r="G374"/>
      <c r="H374"/>
      <c r="I374" s="1"/>
      <c r="J374"/>
      <c r="K374"/>
      <c r="L374" s="1"/>
    </row>
    <row r="375" spans="6:12">
      <c r="F375" s="1"/>
      <c r="G375"/>
      <c r="H375"/>
      <c r="I375" s="1"/>
      <c r="J375"/>
      <c r="K375"/>
      <c r="L375" s="1"/>
    </row>
    <row r="376" spans="6:12">
      <c r="F376" s="1"/>
      <c r="G376"/>
      <c r="H376"/>
      <c r="I376" s="1"/>
      <c r="J376"/>
      <c r="K376"/>
      <c r="L376" s="1"/>
    </row>
    <row r="377" spans="6:12">
      <c r="F377" s="1"/>
      <c r="G377"/>
      <c r="H377"/>
      <c r="I377" s="1"/>
      <c r="J377"/>
      <c r="K377"/>
      <c r="L377" s="1"/>
    </row>
    <row r="378" spans="6:12">
      <c r="F378" s="1"/>
      <c r="G378"/>
      <c r="H378"/>
      <c r="I378" s="1"/>
      <c r="J378"/>
      <c r="K378"/>
      <c r="L378" s="1"/>
    </row>
    <row r="379" spans="6:12">
      <c r="F379" s="1"/>
      <c r="G379"/>
      <c r="H379"/>
      <c r="I379" s="1"/>
      <c r="J379"/>
      <c r="K379"/>
      <c r="L379" s="1"/>
    </row>
    <row r="380" spans="6:12">
      <c r="F380" s="1"/>
      <c r="G380"/>
      <c r="H380"/>
      <c r="I380" s="1"/>
      <c r="J380"/>
      <c r="K380"/>
      <c r="L380" s="1"/>
    </row>
    <row r="381" spans="6:12">
      <c r="F381" s="1"/>
      <c r="G381"/>
      <c r="H381"/>
      <c r="I381" s="1"/>
      <c r="J381"/>
      <c r="K381"/>
      <c r="L381" s="1"/>
    </row>
    <row r="382" spans="6:12">
      <c r="F382" s="1"/>
      <c r="G382"/>
      <c r="H382"/>
      <c r="I382" s="1"/>
      <c r="J382"/>
      <c r="K382"/>
      <c r="L382" s="1"/>
    </row>
    <row r="383" spans="6:12">
      <c r="F383" s="1"/>
      <c r="G383"/>
      <c r="H383"/>
      <c r="I383" s="1"/>
      <c r="J383"/>
      <c r="K383"/>
      <c r="L383" s="1"/>
    </row>
    <row r="384" spans="6:12">
      <c r="F384" s="1"/>
      <c r="G384"/>
      <c r="H384"/>
      <c r="I384" s="1"/>
      <c r="J384"/>
      <c r="K384"/>
      <c r="L384" s="1"/>
    </row>
    <row r="385" spans="6:12">
      <c r="F385" s="1"/>
      <c r="G385"/>
      <c r="H385"/>
      <c r="I385" s="1"/>
      <c r="J385"/>
      <c r="K385"/>
      <c r="L385" s="1"/>
    </row>
    <row r="386" spans="6:12">
      <c r="F386" s="1"/>
      <c r="G386"/>
      <c r="H386"/>
      <c r="I386" s="1"/>
      <c r="J386"/>
      <c r="K386"/>
      <c r="L386" s="1"/>
    </row>
    <row r="387" spans="6:12">
      <c r="F387" s="1"/>
      <c r="G387"/>
      <c r="H387"/>
      <c r="I387" s="1"/>
      <c r="J387"/>
      <c r="K387"/>
      <c r="L387" s="1"/>
    </row>
    <row r="388" spans="6:12">
      <c r="F388" s="1"/>
      <c r="G388"/>
      <c r="H388"/>
      <c r="I388" s="1"/>
      <c r="J388"/>
      <c r="K388"/>
      <c r="L388" s="1"/>
    </row>
    <row r="389" spans="6:12">
      <c r="F389" s="1"/>
      <c r="G389"/>
      <c r="H389"/>
      <c r="I389" s="1"/>
      <c r="J389"/>
      <c r="K389"/>
      <c r="L389" s="1"/>
    </row>
    <row r="390" spans="6:12">
      <c r="F390" s="1"/>
      <c r="G390"/>
      <c r="H390"/>
      <c r="I390" s="1"/>
      <c r="J390"/>
      <c r="K390"/>
      <c r="L390" s="1"/>
    </row>
    <row r="391" spans="6:12">
      <c r="F391" s="1"/>
      <c r="G391"/>
      <c r="H391"/>
      <c r="I391" s="1"/>
      <c r="J391"/>
      <c r="K391"/>
      <c r="L391" s="1"/>
    </row>
    <row r="392" spans="6:12">
      <c r="F392" s="1"/>
      <c r="G392"/>
      <c r="H392"/>
      <c r="I392" s="1"/>
      <c r="J392"/>
      <c r="K392"/>
      <c r="L392" s="1"/>
    </row>
    <row r="393" spans="6:12">
      <c r="F393" s="1"/>
      <c r="G393"/>
      <c r="H393"/>
      <c r="I393" s="1"/>
      <c r="J393"/>
      <c r="K393"/>
      <c r="L393" s="1"/>
    </row>
    <row r="394" spans="6:12">
      <c r="F394" s="1"/>
      <c r="G394"/>
      <c r="H394"/>
      <c r="I394" s="1"/>
      <c r="J394"/>
      <c r="K394"/>
      <c r="L394" s="1"/>
    </row>
    <row r="395" spans="6:12">
      <c r="F395" s="1"/>
      <c r="G395"/>
      <c r="H395"/>
      <c r="I395" s="1"/>
      <c r="J395"/>
      <c r="K395"/>
      <c r="L395" s="1"/>
    </row>
    <row r="396" spans="6:12">
      <c r="F396" s="1"/>
      <c r="G396"/>
      <c r="H396"/>
      <c r="I396" s="1"/>
      <c r="J396"/>
      <c r="K396"/>
      <c r="L396" s="1"/>
    </row>
    <row r="397" spans="6:12">
      <c r="F397" s="1"/>
      <c r="G397"/>
      <c r="H397"/>
      <c r="I397" s="1"/>
      <c r="J397"/>
      <c r="K397"/>
      <c r="L397" s="1"/>
    </row>
    <row r="398" spans="6:12">
      <c r="F398" s="1"/>
      <c r="G398"/>
      <c r="H398"/>
      <c r="I398" s="1"/>
      <c r="J398"/>
      <c r="K398"/>
      <c r="L398" s="1"/>
    </row>
    <row r="399" spans="6:12">
      <c r="F399" s="1"/>
      <c r="G399"/>
      <c r="H399"/>
      <c r="I399" s="1"/>
      <c r="J399"/>
      <c r="K399"/>
      <c r="L399" s="1"/>
    </row>
    <row r="400" spans="6:12">
      <c r="F400" s="1"/>
      <c r="G400"/>
      <c r="H400"/>
      <c r="I400" s="1"/>
      <c r="J400"/>
      <c r="K400"/>
      <c r="L400" s="1"/>
    </row>
    <row r="401" spans="6:12">
      <c r="F401" s="1"/>
      <c r="G401"/>
      <c r="H401"/>
      <c r="I401" s="1"/>
      <c r="J401"/>
      <c r="K401"/>
      <c r="L401" s="1"/>
    </row>
    <row r="402" spans="6:12">
      <c r="F402" s="1"/>
      <c r="G402"/>
      <c r="H402"/>
      <c r="I402" s="1"/>
      <c r="J402"/>
      <c r="K402"/>
      <c r="L402" s="1"/>
    </row>
    <row r="403" spans="6:12">
      <c r="F403" s="1"/>
      <c r="G403"/>
      <c r="H403"/>
      <c r="I403" s="1"/>
      <c r="J403"/>
      <c r="K403"/>
      <c r="L403" s="1"/>
    </row>
    <row r="404" spans="6:12">
      <c r="F404" s="1"/>
      <c r="G404"/>
      <c r="H404"/>
      <c r="I404" s="1"/>
      <c r="J404"/>
      <c r="K404"/>
      <c r="L404" s="1"/>
    </row>
    <row r="405" spans="6:12">
      <c r="F405" s="1"/>
      <c r="G405"/>
      <c r="H405"/>
      <c r="I405" s="1"/>
      <c r="J405"/>
      <c r="K405"/>
      <c r="L405" s="1"/>
    </row>
    <row r="406" spans="6:12">
      <c r="F406" s="1"/>
      <c r="G406"/>
      <c r="H406"/>
      <c r="I406" s="1"/>
      <c r="J406"/>
      <c r="K406"/>
      <c r="L406" s="1"/>
    </row>
    <row r="407" spans="6:12">
      <c r="F407" s="1"/>
      <c r="G407"/>
      <c r="H407"/>
      <c r="I407" s="1"/>
      <c r="J407"/>
      <c r="K407"/>
      <c r="L407" s="1"/>
    </row>
    <row r="408" spans="6:12">
      <c r="F408" s="1"/>
      <c r="G408"/>
      <c r="H408"/>
      <c r="I408" s="1"/>
      <c r="J408"/>
      <c r="K408"/>
      <c r="L408" s="1"/>
    </row>
    <row r="409" spans="6:12">
      <c r="F409" s="1"/>
      <c r="G409"/>
      <c r="H409"/>
      <c r="I409" s="1"/>
      <c r="J409"/>
      <c r="K409"/>
      <c r="L409" s="1"/>
    </row>
    <row r="410" spans="6:12">
      <c r="F410" s="1"/>
      <c r="G410"/>
      <c r="H410"/>
      <c r="I410" s="1"/>
      <c r="J410"/>
      <c r="K410"/>
      <c r="L410" s="1"/>
    </row>
    <row r="411" spans="6:12">
      <c r="F411" s="1"/>
      <c r="G411"/>
      <c r="H411"/>
      <c r="I411" s="1"/>
      <c r="J411"/>
      <c r="K411"/>
      <c r="L411" s="1"/>
    </row>
    <row r="412" spans="6:12">
      <c r="F412" s="1"/>
      <c r="G412"/>
      <c r="H412"/>
      <c r="I412" s="1"/>
      <c r="J412"/>
      <c r="K412"/>
      <c r="L412" s="1"/>
    </row>
    <row r="413" spans="6:12">
      <c r="F413" s="1"/>
      <c r="G413"/>
      <c r="H413"/>
      <c r="I413" s="1"/>
      <c r="J413"/>
      <c r="K413"/>
      <c r="L413" s="1"/>
    </row>
    <row r="414" spans="6:12">
      <c r="F414" s="1"/>
      <c r="G414"/>
      <c r="H414"/>
      <c r="I414" s="1"/>
      <c r="J414"/>
      <c r="K414"/>
      <c r="L414" s="1"/>
    </row>
    <row r="415" spans="6:12">
      <c r="F415" s="1"/>
      <c r="G415"/>
      <c r="H415"/>
      <c r="I415" s="1"/>
      <c r="J415"/>
      <c r="K415"/>
      <c r="L415" s="1"/>
    </row>
    <row r="416" spans="6:12">
      <c r="F416" s="1"/>
      <c r="G416"/>
      <c r="H416"/>
      <c r="I416" s="1"/>
      <c r="J416"/>
      <c r="K416"/>
      <c r="L416" s="1"/>
    </row>
    <row r="417" spans="6:12">
      <c r="F417" s="1"/>
      <c r="G417"/>
      <c r="H417"/>
      <c r="I417" s="1"/>
      <c r="J417"/>
      <c r="K417"/>
      <c r="L417" s="1"/>
    </row>
    <row r="418" spans="6:12">
      <c r="F418" s="1"/>
      <c r="G418"/>
      <c r="H418"/>
      <c r="I418" s="1"/>
      <c r="J418"/>
      <c r="K418"/>
      <c r="L418" s="1"/>
    </row>
    <row r="419" spans="6:12">
      <c r="F419" s="1"/>
      <c r="G419"/>
      <c r="H419"/>
      <c r="I419" s="1"/>
      <c r="J419"/>
      <c r="K419"/>
      <c r="L419" s="1"/>
    </row>
    <row r="420" spans="6:12">
      <c r="F420" s="1"/>
      <c r="G420"/>
      <c r="H420"/>
      <c r="I420" s="1"/>
      <c r="J420"/>
      <c r="K420"/>
      <c r="L420" s="1"/>
    </row>
    <row r="421" spans="6:12">
      <c r="F421" s="1"/>
      <c r="G421"/>
      <c r="H421"/>
      <c r="I421" s="1"/>
      <c r="J421"/>
      <c r="K421"/>
      <c r="L421" s="1"/>
    </row>
    <row r="422" spans="6:12">
      <c r="F422" s="1"/>
      <c r="G422"/>
      <c r="H422"/>
      <c r="I422" s="1"/>
      <c r="J422"/>
      <c r="K422"/>
      <c r="L422" s="1"/>
    </row>
    <row r="423" spans="6:12">
      <c r="F423" s="1"/>
      <c r="G423"/>
      <c r="H423"/>
      <c r="I423" s="1"/>
      <c r="J423"/>
      <c r="K423"/>
      <c r="L423" s="1"/>
    </row>
    <row r="424" spans="6:12">
      <c r="F424" s="1"/>
      <c r="G424"/>
      <c r="H424"/>
      <c r="I424" s="1"/>
      <c r="J424"/>
      <c r="K424"/>
      <c r="L424" s="1"/>
    </row>
    <row r="425" spans="6:12">
      <c r="F425" s="1"/>
      <c r="G425"/>
      <c r="H425"/>
      <c r="I425" s="1"/>
      <c r="J425"/>
      <c r="K425"/>
      <c r="L425" s="1"/>
    </row>
    <row r="426" spans="6:12">
      <c r="F426" s="1"/>
      <c r="G426"/>
      <c r="H426"/>
      <c r="I426" s="1"/>
      <c r="J426"/>
      <c r="K426"/>
      <c r="L426" s="1"/>
    </row>
    <row r="427" spans="6:12">
      <c r="F427" s="1"/>
      <c r="G427"/>
      <c r="H427"/>
      <c r="I427" s="1"/>
      <c r="J427"/>
      <c r="K427"/>
      <c r="L427" s="1"/>
    </row>
    <row r="428" spans="6:12">
      <c r="F428" s="1"/>
      <c r="G428"/>
      <c r="H428"/>
      <c r="I428" s="1"/>
      <c r="J428"/>
      <c r="K428"/>
      <c r="L428" s="1"/>
    </row>
    <row r="429" spans="6:12">
      <c r="F429" s="1"/>
      <c r="G429"/>
      <c r="H429"/>
      <c r="I429" s="1"/>
      <c r="J429"/>
      <c r="K429"/>
      <c r="L429" s="1"/>
    </row>
    <row r="430" spans="6:12">
      <c r="F430" s="1"/>
      <c r="G430"/>
      <c r="H430"/>
      <c r="I430" s="1"/>
      <c r="J430"/>
      <c r="K430"/>
      <c r="L430" s="1"/>
    </row>
    <row r="431" spans="6:12">
      <c r="F431" s="1"/>
      <c r="G431"/>
      <c r="H431"/>
      <c r="I431" s="1"/>
      <c r="J431"/>
      <c r="K431"/>
      <c r="L431" s="1"/>
    </row>
    <row r="432" spans="6:12">
      <c r="F432" s="1"/>
      <c r="G432"/>
      <c r="H432"/>
      <c r="I432" s="1"/>
      <c r="J432"/>
      <c r="K432"/>
      <c r="L432" s="1"/>
    </row>
    <row r="433" spans="6:12">
      <c r="F433" s="1"/>
      <c r="G433"/>
      <c r="H433"/>
      <c r="I433" s="1"/>
      <c r="J433"/>
      <c r="K433"/>
      <c r="L433" s="1"/>
    </row>
    <row r="434" spans="6:12">
      <c r="F434" s="1"/>
      <c r="G434"/>
      <c r="H434"/>
      <c r="I434" s="1"/>
      <c r="J434"/>
      <c r="K434"/>
      <c r="L434" s="1"/>
    </row>
    <row r="435" spans="6:12">
      <c r="F435" s="1"/>
      <c r="G435"/>
      <c r="H435"/>
      <c r="I435" s="1"/>
      <c r="J435"/>
      <c r="K435"/>
      <c r="L435" s="1"/>
    </row>
    <row r="436" spans="6:12">
      <c r="F436" s="1"/>
      <c r="G436"/>
      <c r="H436"/>
      <c r="I436" s="1"/>
      <c r="J436"/>
      <c r="K436"/>
      <c r="L436" s="1"/>
    </row>
    <row r="437" spans="6:12">
      <c r="F437" s="1"/>
      <c r="G437"/>
      <c r="H437"/>
      <c r="I437" s="1"/>
      <c r="J437"/>
      <c r="K437"/>
      <c r="L437" s="1"/>
    </row>
    <row r="438" spans="6:12">
      <c r="F438" s="1"/>
      <c r="G438"/>
      <c r="H438"/>
      <c r="I438" s="1"/>
      <c r="J438"/>
      <c r="K438"/>
      <c r="L438" s="1"/>
    </row>
    <row r="439" spans="6:12">
      <c r="F439" s="1"/>
      <c r="G439"/>
      <c r="H439"/>
      <c r="I439" s="1"/>
      <c r="J439"/>
      <c r="K439"/>
      <c r="L439" s="1"/>
    </row>
    <row r="440" spans="6:12">
      <c r="F440" s="1"/>
      <c r="G440"/>
      <c r="H440"/>
      <c r="I440" s="1"/>
      <c r="J440"/>
      <c r="K440"/>
      <c r="L440" s="1"/>
    </row>
    <row r="441" spans="6:12">
      <c r="F441" s="1"/>
      <c r="G441"/>
      <c r="H441"/>
      <c r="I441" s="1"/>
      <c r="J441"/>
      <c r="K441"/>
      <c r="L441" s="1"/>
    </row>
    <row r="442" spans="6:12">
      <c r="F442" s="1"/>
      <c r="G442"/>
      <c r="H442"/>
      <c r="I442" s="1"/>
      <c r="J442"/>
      <c r="K442"/>
      <c r="L442" s="1"/>
    </row>
    <row r="443" spans="6:12">
      <c r="F443" s="1"/>
      <c r="G443"/>
      <c r="H443"/>
      <c r="I443" s="1"/>
      <c r="J443"/>
      <c r="K443"/>
      <c r="L443" s="1"/>
    </row>
    <row r="444" spans="6:12">
      <c r="F444" s="1"/>
      <c r="G444"/>
      <c r="H444"/>
      <c r="I444" s="1"/>
      <c r="J444"/>
      <c r="K444"/>
      <c r="L444" s="1"/>
    </row>
    <row r="445" spans="6:12">
      <c r="F445" s="1"/>
      <c r="G445"/>
      <c r="H445"/>
      <c r="I445" s="1"/>
      <c r="J445"/>
      <c r="K445"/>
      <c r="L445" s="1"/>
    </row>
    <row r="446" spans="6:12">
      <c r="F446" s="1"/>
      <c r="G446"/>
      <c r="H446"/>
      <c r="I446" s="1"/>
      <c r="J446"/>
      <c r="K446"/>
      <c r="L446" s="1"/>
    </row>
    <row r="447" spans="6:12">
      <c r="F447" s="1"/>
      <c r="G447"/>
      <c r="H447"/>
      <c r="I447" s="1"/>
      <c r="J447"/>
      <c r="K447"/>
      <c r="L447" s="1"/>
    </row>
    <row r="448" spans="6:12">
      <c r="F448" s="1"/>
      <c r="G448"/>
      <c r="H448"/>
      <c r="I448" s="1"/>
      <c r="J448"/>
      <c r="K448"/>
      <c r="L448" s="1"/>
    </row>
    <row r="449" spans="6:12">
      <c r="F449" s="1"/>
      <c r="G449"/>
      <c r="H449"/>
      <c r="I449" s="1"/>
      <c r="J449"/>
      <c r="K449"/>
      <c r="L449" s="1"/>
    </row>
    <row r="450" spans="6:12">
      <c r="F450" s="1"/>
      <c r="G450"/>
      <c r="H450"/>
      <c r="I450" s="1"/>
      <c r="J450"/>
      <c r="K450"/>
      <c r="L450" s="1"/>
    </row>
    <row r="451" spans="6:12">
      <c r="F451" s="1"/>
      <c r="G451"/>
      <c r="H451"/>
      <c r="I451" s="1"/>
      <c r="J451"/>
      <c r="K451"/>
      <c r="L451" s="1"/>
    </row>
    <row r="452" spans="6:12">
      <c r="F452" s="1"/>
      <c r="G452"/>
      <c r="H452"/>
      <c r="I452" s="1"/>
      <c r="J452"/>
      <c r="K452"/>
      <c r="L452" s="1"/>
    </row>
    <row r="453" spans="6:12">
      <c r="F453" s="1"/>
      <c r="G453"/>
      <c r="H453"/>
      <c r="I453" s="1"/>
      <c r="J453"/>
      <c r="K453"/>
      <c r="L453" s="1"/>
    </row>
    <row r="454" spans="6:12">
      <c r="F454" s="1"/>
      <c r="G454"/>
      <c r="H454"/>
      <c r="I454" s="1"/>
      <c r="J454"/>
      <c r="K454"/>
      <c r="L454" s="1"/>
    </row>
    <row r="455" spans="6:12">
      <c r="F455" s="1"/>
      <c r="G455"/>
      <c r="H455"/>
      <c r="I455" s="1"/>
      <c r="J455"/>
      <c r="K455"/>
      <c r="L455" s="1"/>
    </row>
    <row r="456" spans="6:12">
      <c r="F456" s="1"/>
      <c r="G456"/>
      <c r="H456"/>
      <c r="I456" s="1"/>
      <c r="J456"/>
      <c r="K456"/>
      <c r="L456" s="1"/>
    </row>
    <row r="457" spans="6:12">
      <c r="F457" s="1"/>
      <c r="G457"/>
      <c r="H457"/>
      <c r="I457" s="1"/>
      <c r="J457"/>
      <c r="K457"/>
      <c r="L457" s="1"/>
    </row>
    <row r="458" spans="6:12">
      <c r="F458" s="1"/>
      <c r="G458"/>
      <c r="H458"/>
      <c r="I458" s="1"/>
      <c r="J458"/>
      <c r="K458"/>
      <c r="L458" s="1"/>
    </row>
    <row r="459" spans="6:12">
      <c r="F459" s="1"/>
      <c r="G459"/>
      <c r="H459"/>
      <c r="I459" s="1"/>
      <c r="J459"/>
      <c r="K459"/>
      <c r="L459" s="1"/>
    </row>
    <row r="460" spans="6:12">
      <c r="F460" s="1"/>
      <c r="G460"/>
      <c r="H460"/>
      <c r="I460" s="1"/>
      <c r="J460"/>
      <c r="K460"/>
      <c r="L460" s="1"/>
    </row>
    <row r="461" spans="6:12">
      <c r="F461" s="1"/>
      <c r="G461"/>
      <c r="H461"/>
      <c r="I461" s="1"/>
      <c r="J461"/>
      <c r="K461"/>
      <c r="L461" s="1"/>
    </row>
    <row r="462" spans="6:12">
      <c r="F462" s="1"/>
      <c r="G462"/>
      <c r="H462"/>
      <c r="I462" s="1"/>
      <c r="J462"/>
      <c r="K462"/>
      <c r="L462" s="1"/>
    </row>
    <row r="463" spans="6:12">
      <c r="F463" s="1"/>
      <c r="G463"/>
      <c r="H463"/>
      <c r="I463" s="1"/>
      <c r="J463"/>
      <c r="K463"/>
      <c r="L463" s="1"/>
    </row>
    <row r="464" spans="6:12">
      <c r="F464" s="1"/>
      <c r="G464"/>
      <c r="H464"/>
      <c r="I464" s="1"/>
      <c r="J464"/>
      <c r="K464"/>
      <c r="L464" s="1"/>
    </row>
    <row r="465" spans="6:12">
      <c r="F465" s="1"/>
      <c r="G465"/>
      <c r="H465"/>
      <c r="I465" s="1"/>
      <c r="J465"/>
      <c r="K465"/>
      <c r="L465" s="1"/>
    </row>
    <row r="466" spans="6:12">
      <c r="F466" s="1"/>
      <c r="G466"/>
      <c r="H466"/>
      <c r="I466" s="1"/>
      <c r="J466"/>
      <c r="K466"/>
      <c r="L466" s="1"/>
    </row>
    <row r="467" spans="6:12">
      <c r="F467" s="1"/>
      <c r="G467"/>
      <c r="H467"/>
      <c r="I467" s="1"/>
      <c r="J467"/>
      <c r="K467"/>
      <c r="L467" s="1"/>
    </row>
    <row r="468" spans="6:12">
      <c r="F468" s="1"/>
      <c r="G468"/>
      <c r="H468"/>
      <c r="I468" s="1"/>
      <c r="J468"/>
      <c r="K468"/>
      <c r="L468" s="1"/>
    </row>
    <row r="469" spans="6:12">
      <c r="F469" s="1"/>
      <c r="G469"/>
      <c r="H469"/>
      <c r="I469" s="1"/>
      <c r="J469"/>
      <c r="K469"/>
      <c r="L469" s="1"/>
    </row>
    <row r="470" spans="6:12">
      <c r="F470" s="1"/>
      <c r="G470"/>
      <c r="H470"/>
      <c r="I470" s="1"/>
      <c r="J470"/>
      <c r="K470"/>
      <c r="L470" s="1"/>
    </row>
    <row r="471" spans="6:12">
      <c r="F471" s="1"/>
      <c r="G471"/>
      <c r="H471"/>
      <c r="I471" s="1"/>
      <c r="J471"/>
      <c r="K471"/>
      <c r="L471" s="1"/>
    </row>
    <row r="472" spans="6:12">
      <c r="F472" s="1"/>
      <c r="G472"/>
      <c r="H472"/>
      <c r="I472" s="1"/>
      <c r="J472"/>
      <c r="K472"/>
      <c r="L472" s="1"/>
    </row>
    <row r="473" spans="6:12">
      <c r="F473" s="1"/>
      <c r="G473"/>
      <c r="H473"/>
      <c r="I473" s="1"/>
      <c r="J473"/>
      <c r="K473"/>
      <c r="L473" s="1"/>
    </row>
    <row r="474" spans="6:12">
      <c r="F474" s="1"/>
      <c r="G474"/>
      <c r="H474"/>
      <c r="I474" s="1"/>
      <c r="J474"/>
      <c r="K474"/>
      <c r="L474" s="1"/>
    </row>
    <row r="475" spans="6:12">
      <c r="F475" s="1"/>
      <c r="G475"/>
      <c r="H475"/>
      <c r="I475" s="1"/>
      <c r="J475"/>
      <c r="K475"/>
      <c r="L475" s="1"/>
    </row>
    <row r="476" spans="6:12">
      <c r="F476" s="1"/>
      <c r="G476"/>
      <c r="H476"/>
      <c r="I476" s="1"/>
      <c r="J476"/>
      <c r="K476"/>
      <c r="L476" s="1"/>
    </row>
    <row r="477" spans="6:12">
      <c r="F477" s="1"/>
      <c r="G477"/>
      <c r="H477"/>
      <c r="I477" s="1"/>
      <c r="J477"/>
      <c r="K477"/>
      <c r="L477" s="1"/>
    </row>
    <row r="478" spans="6:12">
      <c r="F478" s="1"/>
      <c r="G478"/>
      <c r="H478"/>
      <c r="I478" s="1"/>
      <c r="J478"/>
      <c r="K478"/>
      <c r="L478" s="1"/>
    </row>
    <row r="479" spans="6:12">
      <c r="F479" s="1"/>
      <c r="G479"/>
      <c r="H479"/>
      <c r="I479" s="1"/>
      <c r="J479"/>
      <c r="K479"/>
      <c r="L479" s="1"/>
    </row>
    <row r="480" spans="6:12">
      <c r="F480" s="1"/>
      <c r="G480"/>
      <c r="H480"/>
      <c r="I480" s="1"/>
      <c r="J480"/>
      <c r="K480"/>
      <c r="L480" s="1"/>
    </row>
    <row r="481" spans="6:12">
      <c r="F481" s="1"/>
      <c r="G481"/>
      <c r="H481"/>
      <c r="I481" s="1"/>
      <c r="J481"/>
      <c r="K481"/>
      <c r="L481" s="1"/>
    </row>
    <row r="482" spans="6:12">
      <c r="F482" s="1"/>
      <c r="G482"/>
      <c r="H482"/>
      <c r="I482" s="1"/>
      <c r="J482"/>
      <c r="K482"/>
      <c r="L482" s="1"/>
    </row>
    <row r="483" spans="6:12">
      <c r="F483" s="1"/>
      <c r="G483"/>
      <c r="H483"/>
      <c r="I483" s="1"/>
      <c r="J483"/>
      <c r="K483"/>
      <c r="L483" s="1"/>
    </row>
    <row r="484" spans="6:12">
      <c r="F484" s="1"/>
      <c r="G484"/>
      <c r="H484"/>
      <c r="I484" s="1"/>
      <c r="J484"/>
      <c r="K484"/>
      <c r="L484" s="1"/>
    </row>
    <row r="485" spans="6:12">
      <c r="F485" s="1"/>
      <c r="G485"/>
      <c r="H485"/>
      <c r="I485" s="1"/>
      <c r="J485"/>
      <c r="K485"/>
      <c r="L485" s="1"/>
    </row>
    <row r="486" spans="6:12">
      <c r="F486" s="1"/>
      <c r="G486"/>
      <c r="H486"/>
      <c r="I486" s="1"/>
      <c r="J486"/>
      <c r="K486"/>
      <c r="L486" s="1"/>
    </row>
    <row r="487" spans="6:12">
      <c r="F487" s="1"/>
      <c r="G487"/>
      <c r="H487"/>
      <c r="I487" s="1"/>
      <c r="J487"/>
      <c r="K487"/>
      <c r="L487" s="1"/>
    </row>
    <row r="488" spans="6:12">
      <c r="F488" s="1"/>
      <c r="G488"/>
      <c r="H488"/>
      <c r="I488" s="1"/>
      <c r="J488"/>
      <c r="K488"/>
      <c r="L488" s="1"/>
    </row>
    <row r="489" spans="6:12">
      <c r="F489" s="1"/>
      <c r="G489"/>
      <c r="H489"/>
      <c r="I489" s="1"/>
      <c r="J489"/>
      <c r="K489"/>
      <c r="L489" s="1"/>
    </row>
    <row r="490" spans="6:12">
      <c r="F490" s="1"/>
      <c r="G490"/>
      <c r="H490"/>
      <c r="I490" s="1"/>
      <c r="J490"/>
      <c r="K490"/>
      <c r="L490" s="1"/>
    </row>
    <row r="491" spans="6:12">
      <c r="F491" s="1"/>
      <c r="G491"/>
      <c r="H491"/>
      <c r="I491" s="1"/>
      <c r="J491"/>
      <c r="K491"/>
      <c r="L491" s="1"/>
    </row>
    <row r="492" spans="6:12">
      <c r="F492" s="1"/>
      <c r="G492"/>
      <c r="H492"/>
      <c r="I492" s="1"/>
      <c r="J492"/>
      <c r="K492"/>
      <c r="L492" s="1"/>
    </row>
    <row r="493" spans="6:12">
      <c r="F493" s="1"/>
      <c r="G493"/>
      <c r="H493"/>
      <c r="I493" s="1"/>
      <c r="J493"/>
      <c r="K493"/>
      <c r="L493" s="1"/>
    </row>
    <row r="494" spans="6:12">
      <c r="F494" s="1"/>
      <c r="G494"/>
      <c r="H494"/>
      <c r="I494" s="1"/>
      <c r="J494"/>
      <c r="K494"/>
      <c r="L494" s="1"/>
    </row>
    <row r="495" spans="6:12">
      <c r="F495" s="1"/>
      <c r="G495"/>
      <c r="H495"/>
      <c r="I495" s="1"/>
      <c r="J495"/>
      <c r="K495"/>
      <c r="L495" s="1"/>
    </row>
    <row r="496" spans="6:12">
      <c r="F496" s="1"/>
      <c r="G496"/>
      <c r="H496"/>
      <c r="I496" s="1"/>
      <c r="J496"/>
      <c r="K496"/>
      <c r="L496" s="1"/>
    </row>
    <row r="497" spans="6:12">
      <c r="F497" s="1"/>
      <c r="G497"/>
      <c r="H497"/>
      <c r="I497" s="1"/>
      <c r="J497"/>
      <c r="K497"/>
      <c r="L497" s="1"/>
    </row>
    <row r="498" spans="6:12">
      <c r="F498" s="1"/>
      <c r="G498"/>
      <c r="H498"/>
      <c r="I498" s="1"/>
      <c r="J498"/>
      <c r="K498"/>
      <c r="L498" s="1"/>
    </row>
    <row r="499" spans="6:12">
      <c r="F499" s="1"/>
      <c r="G499"/>
      <c r="H499"/>
      <c r="I499" s="1"/>
      <c r="J499"/>
      <c r="K499"/>
      <c r="L499" s="1"/>
    </row>
    <row r="500" spans="6:12">
      <c r="F500" s="1"/>
      <c r="G500"/>
      <c r="H500"/>
      <c r="I500" s="1"/>
      <c r="J500"/>
      <c r="K500"/>
      <c r="L500" s="1"/>
    </row>
    <row r="501" spans="6:12">
      <c r="F501" s="1"/>
      <c r="G501"/>
      <c r="H501"/>
      <c r="I501" s="1"/>
      <c r="J501"/>
      <c r="K501"/>
      <c r="L501" s="1"/>
    </row>
    <row r="502" spans="6:12">
      <c r="F502" s="1"/>
      <c r="G502"/>
      <c r="H502"/>
      <c r="I502" s="1"/>
      <c r="J502"/>
      <c r="K502"/>
      <c r="L502" s="1"/>
    </row>
    <row r="503" spans="6:12">
      <c r="F503" s="1"/>
      <c r="G503"/>
      <c r="H503"/>
      <c r="I503" s="1"/>
      <c r="J503"/>
      <c r="K503"/>
      <c r="L503" s="1"/>
    </row>
    <row r="504" spans="6:12">
      <c r="F504" s="1"/>
      <c r="G504"/>
      <c r="H504"/>
      <c r="I504" s="1"/>
      <c r="J504"/>
      <c r="K504"/>
      <c r="L504" s="1"/>
    </row>
    <row r="505" spans="6:12">
      <c r="F505" s="1"/>
      <c r="G505"/>
      <c r="H505"/>
      <c r="I505" s="1"/>
      <c r="J505"/>
      <c r="K505"/>
      <c r="L505" s="1"/>
    </row>
    <row r="506" spans="6:12">
      <c r="F506" s="1"/>
      <c r="G506"/>
      <c r="H506"/>
      <c r="I506" s="1"/>
      <c r="J506"/>
      <c r="K506"/>
      <c r="L506" s="1"/>
    </row>
    <row r="507" spans="6:12">
      <c r="F507" s="1"/>
      <c r="G507"/>
      <c r="H507"/>
      <c r="I507" s="1"/>
      <c r="J507"/>
      <c r="K507"/>
      <c r="L507" s="1"/>
    </row>
    <row r="508" spans="6:12">
      <c r="F508" s="1"/>
      <c r="G508"/>
      <c r="H508"/>
      <c r="I508" s="1"/>
      <c r="J508"/>
      <c r="K508"/>
      <c r="L508" s="1"/>
    </row>
    <row r="509" spans="6:12">
      <c r="F509" s="1"/>
      <c r="G509"/>
      <c r="H509"/>
      <c r="I509" s="1"/>
      <c r="J509"/>
      <c r="K509"/>
      <c r="L509" s="1"/>
    </row>
    <row r="510" spans="6:12">
      <c r="F510" s="1"/>
      <c r="G510"/>
      <c r="H510"/>
      <c r="I510" s="1"/>
      <c r="J510"/>
      <c r="K510"/>
      <c r="L510" s="1"/>
    </row>
    <row r="511" spans="6:12">
      <c r="F511" s="1"/>
      <c r="G511"/>
      <c r="H511"/>
      <c r="I511" s="1"/>
      <c r="J511"/>
      <c r="K511"/>
      <c r="L511" s="1"/>
    </row>
    <row r="512" spans="6:12">
      <c r="F512" s="1"/>
      <c r="G512"/>
      <c r="H512"/>
      <c r="I512" s="1"/>
      <c r="J512"/>
      <c r="K512"/>
      <c r="L512" s="1"/>
    </row>
    <row r="513" spans="6:12">
      <c r="F513" s="1"/>
      <c r="G513"/>
      <c r="H513"/>
      <c r="I513" s="1"/>
      <c r="J513"/>
      <c r="K513"/>
      <c r="L513" s="1"/>
    </row>
    <row r="514" spans="6:12">
      <c r="F514" s="1"/>
      <c r="G514"/>
      <c r="H514"/>
      <c r="I514" s="1"/>
      <c r="J514"/>
      <c r="K514"/>
      <c r="L514" s="1"/>
    </row>
    <row r="515" spans="6:12">
      <c r="F515" s="1"/>
      <c r="G515"/>
      <c r="H515"/>
      <c r="I515" s="1"/>
      <c r="J515"/>
      <c r="K515"/>
      <c r="L515" s="1"/>
    </row>
    <row r="516" spans="6:12">
      <c r="F516" s="1"/>
      <c r="G516"/>
      <c r="H516"/>
      <c r="I516" s="1"/>
      <c r="J516"/>
      <c r="K516"/>
      <c r="L516" s="1"/>
    </row>
    <row r="517" spans="6:12">
      <c r="F517" s="1"/>
      <c r="G517"/>
      <c r="H517"/>
      <c r="I517" s="1"/>
      <c r="J517"/>
      <c r="K517"/>
      <c r="L517" s="1"/>
    </row>
    <row r="518" spans="6:12">
      <c r="F518" s="1"/>
      <c r="G518"/>
      <c r="H518"/>
      <c r="I518" s="1"/>
      <c r="J518"/>
      <c r="K518"/>
      <c r="L518" s="1"/>
    </row>
    <row r="519" spans="6:12">
      <c r="F519" s="1"/>
      <c r="G519"/>
      <c r="H519"/>
      <c r="I519" s="1"/>
      <c r="J519"/>
      <c r="K519"/>
      <c r="L519" s="1"/>
    </row>
    <row r="520" spans="6:12">
      <c r="F520" s="1"/>
      <c r="G520"/>
      <c r="H520"/>
      <c r="I520" s="1"/>
      <c r="J520"/>
      <c r="K520"/>
      <c r="L520" s="1"/>
    </row>
    <row r="521" spans="6:12">
      <c r="F521" s="1"/>
      <c r="G521"/>
      <c r="H521"/>
      <c r="I521" s="1"/>
      <c r="J521"/>
      <c r="K521"/>
      <c r="L521" s="1"/>
    </row>
    <row r="522" spans="6:12">
      <c r="F522" s="1"/>
      <c r="G522"/>
      <c r="H522"/>
      <c r="I522" s="1"/>
      <c r="J522"/>
      <c r="K522"/>
      <c r="L522" s="1"/>
    </row>
    <row r="523" spans="6:12">
      <c r="F523" s="1"/>
      <c r="G523"/>
      <c r="H523"/>
      <c r="I523" s="1"/>
      <c r="J523"/>
      <c r="K523"/>
      <c r="L523" s="1"/>
    </row>
    <row r="524" spans="6:12">
      <c r="F524" s="1"/>
      <c r="G524"/>
      <c r="H524"/>
      <c r="I524" s="1"/>
      <c r="J524"/>
      <c r="K524"/>
      <c r="L524" s="1"/>
    </row>
    <row r="525" spans="6:12">
      <c r="F525" s="1"/>
      <c r="G525"/>
      <c r="H525"/>
      <c r="I525" s="1"/>
      <c r="J525"/>
      <c r="K525"/>
      <c r="L525" s="1"/>
    </row>
    <row r="526" spans="6:12">
      <c r="F526" s="1"/>
      <c r="G526"/>
      <c r="H526"/>
      <c r="I526" s="1"/>
      <c r="J526"/>
      <c r="K526"/>
      <c r="L526" s="1"/>
    </row>
    <row r="527" spans="6:12">
      <c r="F527" s="1"/>
      <c r="G527"/>
      <c r="H527"/>
      <c r="I527" s="1"/>
      <c r="J527"/>
      <c r="K527"/>
      <c r="L527" s="1"/>
    </row>
    <row r="528" spans="6:12">
      <c r="F528" s="1"/>
      <c r="G528"/>
      <c r="H528"/>
      <c r="I528" s="1"/>
      <c r="J528"/>
      <c r="K528"/>
      <c r="L528" s="1"/>
    </row>
    <row r="529" spans="6:12">
      <c r="F529" s="1"/>
      <c r="G529"/>
      <c r="H529"/>
      <c r="I529" s="1"/>
      <c r="J529"/>
      <c r="K529"/>
      <c r="L529" s="1"/>
    </row>
    <row r="530" spans="6:12">
      <c r="F530" s="1"/>
      <c r="G530"/>
      <c r="H530"/>
      <c r="I530" s="1"/>
      <c r="J530"/>
      <c r="K530"/>
      <c r="L530" s="1"/>
    </row>
    <row r="531" spans="6:12">
      <c r="F531" s="1"/>
      <c r="G531"/>
      <c r="H531"/>
      <c r="I531" s="1"/>
      <c r="J531"/>
      <c r="K531"/>
      <c r="L531" s="1"/>
    </row>
    <row r="532" spans="6:12">
      <c r="F532" s="1"/>
      <c r="G532"/>
      <c r="H532"/>
      <c r="I532" s="1"/>
      <c r="J532"/>
      <c r="K532"/>
      <c r="L532" s="1"/>
    </row>
    <row r="533" spans="6:12">
      <c r="F533" s="1"/>
      <c r="G533"/>
      <c r="H533"/>
      <c r="I533" s="1"/>
      <c r="J533"/>
      <c r="K533"/>
      <c r="L533" s="1"/>
    </row>
    <row r="534" spans="6:12">
      <c r="F534" s="1"/>
      <c r="G534"/>
      <c r="H534"/>
      <c r="I534" s="1"/>
      <c r="J534"/>
      <c r="K534"/>
      <c r="L534" s="1"/>
    </row>
    <row r="535" spans="6:12">
      <c r="F535" s="1"/>
      <c r="G535"/>
      <c r="H535"/>
      <c r="I535" s="1"/>
      <c r="J535"/>
      <c r="K535"/>
      <c r="L535" s="1"/>
    </row>
    <row r="536" spans="6:12">
      <c r="F536" s="1"/>
      <c r="G536"/>
      <c r="H536"/>
      <c r="I536" s="1"/>
      <c r="J536"/>
      <c r="K536"/>
      <c r="L536" s="1"/>
    </row>
    <row r="537" spans="6:12">
      <c r="F537" s="1"/>
      <c r="G537"/>
      <c r="H537"/>
      <c r="I537" s="1"/>
      <c r="J537"/>
      <c r="K537"/>
      <c r="L537" s="1"/>
    </row>
    <row r="538" spans="6:12">
      <c r="F538" s="1"/>
      <c r="G538"/>
      <c r="H538"/>
      <c r="I538" s="1"/>
      <c r="J538"/>
      <c r="K538"/>
      <c r="L538" s="1"/>
    </row>
    <row r="539" spans="6:12">
      <c r="F539" s="1"/>
      <c r="G539"/>
      <c r="H539"/>
      <c r="I539" s="1"/>
      <c r="J539"/>
      <c r="K539"/>
      <c r="L539" s="1"/>
    </row>
    <row r="540" spans="6:12">
      <c r="F540" s="1"/>
      <c r="G540"/>
      <c r="H540"/>
      <c r="I540" s="1"/>
      <c r="J540"/>
      <c r="K540"/>
      <c r="L540" s="1"/>
    </row>
    <row r="541" spans="6:12">
      <c r="F541" s="1"/>
      <c r="G541"/>
      <c r="H541"/>
      <c r="I541" s="1"/>
      <c r="J541"/>
      <c r="K541"/>
      <c r="L541" s="1"/>
    </row>
    <row r="542" spans="6:12">
      <c r="F542" s="1"/>
      <c r="G542"/>
      <c r="H542"/>
      <c r="I542" s="1"/>
      <c r="J542"/>
      <c r="K542"/>
      <c r="L542" s="1"/>
    </row>
    <row r="543" spans="6:12">
      <c r="F543" s="1"/>
      <c r="G543"/>
      <c r="H543"/>
      <c r="I543" s="1"/>
      <c r="J543"/>
      <c r="K543"/>
      <c r="L543" s="1"/>
    </row>
    <row r="544" spans="6:12">
      <c r="F544" s="1"/>
      <c r="G544"/>
      <c r="H544"/>
      <c r="I544" s="1"/>
      <c r="J544"/>
      <c r="K544"/>
      <c r="L544" s="1"/>
    </row>
    <row r="545" spans="6:12">
      <c r="F545" s="1"/>
      <c r="G545"/>
      <c r="H545"/>
      <c r="I545" s="1"/>
      <c r="J545"/>
      <c r="K545"/>
      <c r="L545" s="1"/>
    </row>
    <row r="546" spans="6:12">
      <c r="F546" s="1"/>
      <c r="G546"/>
      <c r="H546"/>
      <c r="I546" s="1"/>
      <c r="J546"/>
      <c r="K546"/>
      <c r="L546" s="1"/>
    </row>
    <row r="547" spans="6:12">
      <c r="F547" s="1"/>
      <c r="G547"/>
      <c r="H547"/>
      <c r="I547" s="1"/>
      <c r="J547"/>
      <c r="K547"/>
      <c r="L547" s="1"/>
    </row>
    <row r="548" spans="6:12">
      <c r="F548" s="1"/>
      <c r="G548"/>
      <c r="H548"/>
      <c r="I548" s="1"/>
      <c r="J548"/>
      <c r="K548"/>
      <c r="L548" s="1"/>
    </row>
    <row r="549" spans="6:12">
      <c r="F549" s="1"/>
      <c r="G549"/>
      <c r="H549"/>
      <c r="I549" s="1"/>
      <c r="J549"/>
      <c r="K549"/>
      <c r="L549" s="1"/>
    </row>
    <row r="550" spans="6:12">
      <c r="F550" s="1"/>
      <c r="G550"/>
      <c r="H550"/>
      <c r="I550" s="1"/>
      <c r="J550"/>
      <c r="K550"/>
      <c r="L550" s="1"/>
    </row>
    <row r="551" spans="6:12">
      <c r="F551" s="1"/>
      <c r="G551"/>
      <c r="H551"/>
      <c r="I551" s="1"/>
      <c r="J551"/>
      <c r="K551"/>
      <c r="L551" s="1"/>
    </row>
    <row r="552" spans="6:12">
      <c r="F552" s="1"/>
      <c r="G552"/>
      <c r="H552"/>
      <c r="I552" s="1"/>
      <c r="J552"/>
      <c r="K552"/>
      <c r="L552" s="1"/>
    </row>
    <row r="553" spans="6:12">
      <c r="F553" s="1"/>
      <c r="G553"/>
      <c r="H553"/>
      <c r="I553" s="1"/>
      <c r="J553"/>
      <c r="K553"/>
      <c r="L553" s="1"/>
    </row>
    <row r="554" spans="6:12">
      <c r="F554" s="1"/>
      <c r="G554"/>
      <c r="H554"/>
      <c r="I554" s="1"/>
      <c r="J554"/>
      <c r="K554"/>
      <c r="L554" s="1"/>
    </row>
    <row r="555" spans="6:12">
      <c r="F555" s="1"/>
      <c r="G555"/>
      <c r="H555"/>
      <c r="I555" s="1"/>
      <c r="J555"/>
      <c r="K555"/>
      <c r="L555" s="1"/>
    </row>
    <row r="556" spans="6:12">
      <c r="F556" s="1"/>
      <c r="G556"/>
      <c r="H556"/>
      <c r="I556" s="1"/>
      <c r="J556"/>
      <c r="K556"/>
      <c r="L556" s="1"/>
    </row>
    <row r="557" spans="6:12">
      <c r="F557" s="1"/>
      <c r="G557"/>
      <c r="H557"/>
      <c r="I557" s="1"/>
      <c r="J557"/>
      <c r="K557"/>
      <c r="L557" s="1"/>
    </row>
    <row r="558" spans="6:12">
      <c r="F558" s="1"/>
      <c r="G558"/>
      <c r="H558"/>
      <c r="I558" s="1"/>
      <c r="J558"/>
      <c r="K558"/>
      <c r="L558" s="1"/>
    </row>
    <row r="559" spans="6:12">
      <c r="F559" s="1"/>
      <c r="G559"/>
      <c r="H559"/>
      <c r="I559" s="1"/>
      <c r="J559"/>
      <c r="K559"/>
      <c r="L559" s="1"/>
    </row>
    <row r="560" spans="6:12">
      <c r="F560" s="1"/>
      <c r="G560"/>
      <c r="H560"/>
      <c r="I560" s="1"/>
      <c r="J560"/>
      <c r="K560"/>
      <c r="L560" s="1"/>
    </row>
    <row r="561" spans="6:12">
      <c r="F561" s="1"/>
      <c r="G561"/>
      <c r="H561"/>
      <c r="I561" s="1"/>
      <c r="J561"/>
      <c r="K561"/>
      <c r="L561" s="1"/>
    </row>
    <row r="562" spans="6:12">
      <c r="F562" s="1"/>
      <c r="G562"/>
      <c r="H562"/>
      <c r="I562" s="1"/>
      <c r="J562"/>
      <c r="K562"/>
      <c r="L562" s="1"/>
    </row>
    <row r="563" spans="6:12">
      <c r="F563" s="1"/>
      <c r="G563"/>
      <c r="H563"/>
      <c r="I563" s="1"/>
      <c r="J563"/>
      <c r="K563"/>
      <c r="L563" s="1"/>
    </row>
    <row r="564" spans="6:12">
      <c r="F564" s="1"/>
      <c r="G564"/>
      <c r="H564"/>
      <c r="I564" s="1"/>
      <c r="J564"/>
      <c r="K564"/>
      <c r="L564" s="1"/>
    </row>
    <row r="565" spans="6:12">
      <c r="F565" s="1"/>
      <c r="G565"/>
      <c r="H565"/>
      <c r="I565" s="1"/>
      <c r="J565"/>
      <c r="K565"/>
      <c r="L565" s="1"/>
    </row>
    <row r="566" spans="6:12">
      <c r="F566" s="1"/>
      <c r="G566"/>
      <c r="H566"/>
      <c r="I566" s="1"/>
      <c r="J566"/>
      <c r="K566"/>
      <c r="L566" s="1"/>
    </row>
    <row r="567" spans="6:12">
      <c r="F567" s="1"/>
      <c r="G567"/>
      <c r="H567"/>
      <c r="I567" s="1"/>
      <c r="J567"/>
      <c r="K567"/>
      <c r="L567" s="1"/>
    </row>
    <row r="568" spans="6:12">
      <c r="F568" s="1"/>
      <c r="G568"/>
      <c r="H568"/>
      <c r="I568" s="1"/>
      <c r="J568"/>
      <c r="K568"/>
      <c r="L568" s="1"/>
    </row>
    <row r="569" spans="6:12">
      <c r="F569" s="1"/>
      <c r="G569"/>
      <c r="H569"/>
      <c r="I569" s="1"/>
      <c r="J569"/>
      <c r="K569"/>
      <c r="L569" s="1"/>
    </row>
    <row r="570" spans="6:12">
      <c r="F570" s="1"/>
      <c r="G570"/>
      <c r="H570"/>
      <c r="I570" s="1"/>
      <c r="J570"/>
      <c r="K570"/>
      <c r="L570" s="1"/>
    </row>
    <row r="571" spans="6:12">
      <c r="F571" s="1"/>
      <c r="G571"/>
      <c r="H571"/>
      <c r="I571" s="1"/>
      <c r="J571"/>
      <c r="K571"/>
      <c r="L571" s="1"/>
    </row>
    <row r="572" spans="6:12">
      <c r="F572" s="1"/>
      <c r="G572"/>
      <c r="H572"/>
      <c r="I572" s="1"/>
      <c r="J572"/>
      <c r="K572"/>
      <c r="L572" s="1"/>
    </row>
    <row r="573" spans="6:12">
      <c r="F573" s="1"/>
      <c r="G573"/>
      <c r="H573"/>
      <c r="I573" s="1"/>
      <c r="J573"/>
      <c r="K573"/>
      <c r="L573" s="1"/>
    </row>
    <row r="574" spans="6:12">
      <c r="F574" s="1"/>
      <c r="G574"/>
      <c r="H574"/>
      <c r="I574" s="1"/>
      <c r="J574"/>
      <c r="K574"/>
      <c r="L574" s="1"/>
    </row>
    <row r="575" spans="6:12">
      <c r="F575" s="1"/>
      <c r="G575"/>
      <c r="H575"/>
      <c r="I575" s="1"/>
      <c r="J575"/>
      <c r="K575"/>
      <c r="L575" s="1"/>
    </row>
    <row r="576" spans="6:12">
      <c r="F576" s="1"/>
      <c r="G576"/>
      <c r="H576"/>
      <c r="I576" s="1"/>
      <c r="J576"/>
      <c r="K576"/>
      <c r="L576" s="1"/>
    </row>
    <row r="577" spans="6:12">
      <c r="F577" s="1"/>
      <c r="G577"/>
      <c r="H577"/>
      <c r="I577" s="1"/>
      <c r="J577"/>
      <c r="K577"/>
      <c r="L577" s="1"/>
    </row>
    <row r="578" spans="6:12">
      <c r="F578" s="1"/>
      <c r="G578"/>
      <c r="H578"/>
      <c r="I578" s="1"/>
      <c r="J578"/>
      <c r="K578"/>
      <c r="L578" s="1"/>
    </row>
    <row r="579" spans="6:12">
      <c r="F579" s="1"/>
      <c r="G579"/>
      <c r="H579"/>
      <c r="I579" s="1"/>
      <c r="J579"/>
      <c r="K579"/>
      <c r="L579" s="1"/>
    </row>
    <row r="580" spans="6:12">
      <c r="F580" s="1"/>
      <c r="G580"/>
      <c r="H580"/>
      <c r="I580" s="1"/>
      <c r="J580"/>
      <c r="K580"/>
      <c r="L580" s="1"/>
    </row>
    <row r="581" spans="6:12">
      <c r="F581" s="1"/>
      <c r="G581"/>
      <c r="H581"/>
      <c r="I581" s="1"/>
      <c r="J581"/>
      <c r="K581"/>
      <c r="L581" s="1"/>
    </row>
    <row r="582" spans="6:12">
      <c r="F582" s="1"/>
      <c r="G582"/>
      <c r="H582"/>
      <c r="I582" s="1"/>
      <c r="J582"/>
      <c r="K582"/>
      <c r="L582" s="1"/>
    </row>
    <row r="583" spans="6:12">
      <c r="F583" s="1"/>
      <c r="G583"/>
      <c r="H583"/>
      <c r="I583" s="1"/>
      <c r="J583"/>
      <c r="K583"/>
      <c r="L583" s="1"/>
    </row>
    <row r="584" spans="6:12">
      <c r="F584" s="1"/>
      <c r="G584"/>
      <c r="H584"/>
      <c r="I584" s="1"/>
      <c r="J584"/>
      <c r="K584"/>
      <c r="L584" s="1"/>
    </row>
    <row r="585" spans="6:12">
      <c r="F585" s="1"/>
      <c r="G585"/>
      <c r="H585"/>
      <c r="I585" s="1"/>
      <c r="J585"/>
      <c r="K585"/>
      <c r="L585" s="1"/>
    </row>
    <row r="586" spans="6:12">
      <c r="F586" s="1"/>
      <c r="G586"/>
      <c r="H586"/>
      <c r="I586" s="1"/>
      <c r="J586"/>
      <c r="K586"/>
      <c r="L586" s="1"/>
    </row>
    <row r="587" spans="6:12">
      <c r="F587" s="1"/>
      <c r="G587"/>
      <c r="H587"/>
      <c r="I587" s="1"/>
      <c r="J587"/>
      <c r="K587"/>
      <c r="L587" s="1"/>
    </row>
    <row r="588" spans="6:12">
      <c r="F588" s="1"/>
      <c r="G588"/>
      <c r="H588"/>
      <c r="I588" s="1"/>
      <c r="J588"/>
      <c r="K588"/>
      <c r="L588" s="1"/>
    </row>
    <row r="589" spans="6:12">
      <c r="F589" s="1"/>
      <c r="G589"/>
      <c r="H589"/>
      <c r="I589" s="1"/>
      <c r="J589"/>
      <c r="K589"/>
      <c r="L589" s="1"/>
    </row>
    <row r="590" spans="6:12">
      <c r="F590" s="1"/>
      <c r="G590"/>
      <c r="H590"/>
      <c r="I590" s="1"/>
      <c r="J590"/>
      <c r="K590"/>
      <c r="L590" s="1"/>
    </row>
    <row r="591" spans="6:12">
      <c r="F591" s="1"/>
      <c r="G591"/>
      <c r="H591"/>
      <c r="I591" s="1"/>
      <c r="J591"/>
      <c r="K591"/>
      <c r="L591" s="1"/>
    </row>
    <row r="592" spans="6:12">
      <c r="F592" s="1"/>
      <c r="G592"/>
      <c r="H592"/>
      <c r="I592" s="1"/>
      <c r="J592"/>
      <c r="K592"/>
      <c r="L592" s="1"/>
    </row>
    <row r="593" spans="6:12">
      <c r="F593" s="1"/>
      <c r="G593"/>
      <c r="H593"/>
      <c r="I593" s="1"/>
      <c r="J593"/>
      <c r="K593"/>
      <c r="L593" s="1"/>
    </row>
    <row r="594" spans="6:12">
      <c r="F594" s="1"/>
      <c r="G594"/>
      <c r="H594"/>
      <c r="I594" s="1"/>
      <c r="J594"/>
      <c r="K594"/>
      <c r="L594" s="1"/>
    </row>
    <row r="595" spans="6:12">
      <c r="F595" s="1"/>
      <c r="G595"/>
      <c r="H595"/>
      <c r="I595" s="1"/>
      <c r="J595"/>
      <c r="K595"/>
      <c r="L595" s="1"/>
    </row>
    <row r="596" spans="6:12">
      <c r="F596" s="1"/>
      <c r="G596"/>
      <c r="H596"/>
      <c r="I596" s="1"/>
      <c r="J596"/>
      <c r="K596"/>
      <c r="L596" s="1"/>
    </row>
    <row r="597" spans="6:12">
      <c r="F597" s="1"/>
      <c r="G597"/>
      <c r="H597"/>
      <c r="I597" s="1"/>
      <c r="J597"/>
      <c r="K597"/>
      <c r="L597" s="1"/>
    </row>
    <row r="598" spans="6:12">
      <c r="F598" s="1"/>
      <c r="G598"/>
      <c r="H598"/>
      <c r="I598" s="1"/>
      <c r="J598"/>
      <c r="K598"/>
      <c r="L598" s="1"/>
    </row>
    <row r="599" spans="6:12">
      <c r="F599" s="1"/>
      <c r="G599"/>
      <c r="H599"/>
      <c r="I599" s="1"/>
      <c r="J599"/>
      <c r="K599"/>
      <c r="L599" s="1"/>
    </row>
    <row r="600" spans="6:12">
      <c r="F600" s="1"/>
      <c r="G600"/>
      <c r="H600"/>
      <c r="I600" s="1"/>
      <c r="J600"/>
      <c r="K600"/>
      <c r="L600" s="1"/>
    </row>
    <row r="601" spans="6:12">
      <c r="F601" s="1"/>
      <c r="G601"/>
      <c r="H601"/>
      <c r="I601" s="1"/>
      <c r="J601"/>
      <c r="K601"/>
      <c r="L601" s="1"/>
    </row>
    <row r="602" spans="6:12">
      <c r="F602" s="1"/>
      <c r="G602"/>
      <c r="H602"/>
      <c r="I602" s="1"/>
      <c r="J602"/>
      <c r="K602"/>
      <c r="L602" s="1"/>
    </row>
    <row r="603" spans="6:12">
      <c r="F603" s="1"/>
      <c r="G603"/>
      <c r="H603"/>
      <c r="I603" s="1"/>
      <c r="J603"/>
      <c r="K603"/>
      <c r="L603" s="1"/>
    </row>
    <row r="604" spans="6:12">
      <c r="F604" s="1"/>
      <c r="G604"/>
      <c r="H604"/>
      <c r="I604" s="1"/>
      <c r="J604"/>
      <c r="K604"/>
      <c r="L604" s="1"/>
    </row>
    <row r="605" spans="6:12">
      <c r="F605" s="1"/>
      <c r="G605"/>
      <c r="H605"/>
      <c r="I605" s="1"/>
      <c r="J605"/>
      <c r="K605"/>
      <c r="L605" s="1"/>
    </row>
    <row r="606" spans="6:12">
      <c r="F606" s="1"/>
      <c r="G606"/>
      <c r="H606"/>
      <c r="I606" s="1"/>
      <c r="J606"/>
      <c r="K606"/>
      <c r="L606" s="1"/>
    </row>
    <row r="607" spans="6:12">
      <c r="F607" s="1"/>
      <c r="G607"/>
      <c r="H607"/>
      <c r="I607" s="1"/>
      <c r="J607"/>
      <c r="K607"/>
      <c r="L607" s="1"/>
    </row>
    <row r="608" spans="6:12">
      <c r="F608" s="1"/>
      <c r="G608"/>
      <c r="H608"/>
      <c r="I608" s="1"/>
      <c r="J608"/>
      <c r="K608"/>
      <c r="L608" s="1"/>
    </row>
    <row r="609" spans="6:12">
      <c r="F609" s="1"/>
      <c r="G609"/>
      <c r="H609"/>
      <c r="I609" s="1"/>
      <c r="J609"/>
      <c r="K609"/>
      <c r="L609" s="1"/>
    </row>
    <row r="610" spans="6:12">
      <c r="F610" s="1"/>
      <c r="G610"/>
      <c r="H610"/>
      <c r="I610" s="1"/>
      <c r="J610"/>
      <c r="K610"/>
      <c r="L610" s="1"/>
    </row>
    <row r="611" spans="6:12">
      <c r="F611" s="1"/>
      <c r="G611"/>
      <c r="H611"/>
      <c r="I611" s="1"/>
      <c r="J611"/>
      <c r="K611"/>
      <c r="L611" s="1"/>
    </row>
    <row r="612" spans="6:12">
      <c r="F612" s="1"/>
      <c r="G612"/>
      <c r="H612"/>
      <c r="I612" s="1"/>
      <c r="J612"/>
      <c r="K612"/>
      <c r="L612" s="1"/>
    </row>
    <row r="613" spans="6:12">
      <c r="F613" s="1"/>
      <c r="G613"/>
      <c r="H613"/>
      <c r="I613" s="1"/>
      <c r="J613"/>
      <c r="K613"/>
      <c r="L613" s="1"/>
    </row>
    <row r="614" spans="6:12">
      <c r="F614" s="1"/>
      <c r="G614"/>
      <c r="H614"/>
      <c r="I614" s="1"/>
      <c r="J614"/>
      <c r="K614"/>
      <c r="L614" s="1"/>
    </row>
    <row r="615" spans="6:12">
      <c r="F615" s="1"/>
      <c r="G615"/>
      <c r="H615"/>
      <c r="I615" s="1"/>
      <c r="J615"/>
      <c r="K615"/>
      <c r="L615" s="1"/>
    </row>
    <row r="616" spans="6:12">
      <c r="F616" s="1"/>
      <c r="G616"/>
      <c r="H616"/>
      <c r="I616" s="1"/>
      <c r="J616"/>
      <c r="K616"/>
      <c r="L616" s="1"/>
    </row>
    <row r="617" spans="6:12">
      <c r="F617" s="1"/>
      <c r="G617"/>
      <c r="H617"/>
      <c r="I617" s="1"/>
      <c r="J617"/>
      <c r="K617"/>
      <c r="L617" s="1"/>
    </row>
    <row r="618" spans="6:12">
      <c r="F618" s="1"/>
      <c r="G618"/>
      <c r="H618"/>
      <c r="I618" s="1"/>
      <c r="J618"/>
      <c r="K618"/>
      <c r="L618" s="1"/>
    </row>
    <row r="619" spans="6:12">
      <c r="F619" s="1"/>
      <c r="G619"/>
      <c r="H619"/>
      <c r="I619" s="1"/>
      <c r="J619"/>
      <c r="K619"/>
      <c r="L619" s="1"/>
    </row>
    <row r="620" spans="6:12">
      <c r="F620" s="1"/>
      <c r="G620"/>
      <c r="H620"/>
      <c r="I620" s="1"/>
      <c r="J620"/>
      <c r="K620"/>
      <c r="L620" s="1"/>
    </row>
    <row r="621" spans="6:12">
      <c r="F621" s="1"/>
      <c r="G621"/>
      <c r="H621"/>
      <c r="I621" s="1"/>
      <c r="J621"/>
      <c r="K621"/>
      <c r="L621" s="1"/>
    </row>
    <row r="622" spans="6:12">
      <c r="F622" s="1"/>
      <c r="G622"/>
      <c r="H622"/>
      <c r="I622" s="1"/>
      <c r="J622"/>
      <c r="K622"/>
      <c r="L622" s="1"/>
    </row>
    <row r="623" spans="6:12">
      <c r="F623" s="1"/>
      <c r="G623"/>
      <c r="H623"/>
      <c r="I623" s="1"/>
      <c r="J623"/>
      <c r="K623"/>
      <c r="L623" s="1"/>
    </row>
    <row r="624" spans="6:12">
      <c r="F624" s="1"/>
      <c r="G624"/>
      <c r="H624"/>
      <c r="I624" s="1"/>
      <c r="J624"/>
      <c r="K624"/>
      <c r="L624" s="1"/>
    </row>
    <row r="625" spans="6:12">
      <c r="F625" s="1"/>
      <c r="G625"/>
      <c r="H625"/>
      <c r="I625" s="1"/>
      <c r="J625"/>
      <c r="K625"/>
      <c r="L625" s="1"/>
    </row>
    <row r="626" spans="6:12">
      <c r="F626" s="1"/>
      <c r="G626"/>
      <c r="H626"/>
      <c r="I626" s="1"/>
      <c r="J626"/>
      <c r="K626"/>
      <c r="L626" s="1"/>
    </row>
    <row r="627" spans="6:12">
      <c r="F627" s="1"/>
      <c r="G627"/>
      <c r="H627"/>
      <c r="I627" s="1"/>
      <c r="J627"/>
      <c r="K627"/>
      <c r="L627" s="1"/>
    </row>
    <row r="628" spans="6:12">
      <c r="F628" s="1"/>
      <c r="G628"/>
      <c r="H628"/>
      <c r="I628" s="1"/>
      <c r="J628"/>
      <c r="K628"/>
      <c r="L628" s="1"/>
    </row>
    <row r="629" spans="6:12">
      <c r="F629" s="1"/>
      <c r="G629"/>
      <c r="H629"/>
      <c r="I629" s="1"/>
      <c r="J629"/>
      <c r="K629"/>
      <c r="L629" s="1"/>
    </row>
    <row r="630" spans="6:12">
      <c r="F630" s="1"/>
      <c r="G630"/>
      <c r="H630"/>
      <c r="I630" s="1"/>
      <c r="J630"/>
      <c r="K630"/>
      <c r="L630" s="1"/>
    </row>
    <row r="631" spans="6:12">
      <c r="F631" s="1"/>
      <c r="G631"/>
      <c r="H631"/>
      <c r="I631" s="1"/>
      <c r="J631"/>
      <c r="K631"/>
      <c r="L631" s="1"/>
    </row>
    <row r="632" spans="6:12">
      <c r="F632" s="1"/>
      <c r="G632"/>
      <c r="H632"/>
      <c r="I632" s="1"/>
      <c r="J632"/>
      <c r="K632"/>
      <c r="L632" s="1"/>
    </row>
    <row r="633" spans="6:12">
      <c r="F633" s="1"/>
      <c r="G633"/>
      <c r="H633"/>
      <c r="I633" s="1"/>
      <c r="J633"/>
      <c r="K633"/>
      <c r="L633" s="1"/>
    </row>
    <row r="634" spans="6:12">
      <c r="F634" s="1"/>
      <c r="G634"/>
      <c r="H634"/>
      <c r="I634" s="1"/>
      <c r="J634"/>
      <c r="K634"/>
      <c r="L634" s="1"/>
    </row>
    <row r="635" spans="6:12">
      <c r="F635" s="1"/>
      <c r="G635"/>
      <c r="H635"/>
      <c r="I635" s="1"/>
      <c r="J635"/>
      <c r="K635"/>
      <c r="L635" s="1"/>
    </row>
    <row r="636" spans="6:12">
      <c r="F636" s="1"/>
      <c r="G636"/>
      <c r="H636"/>
      <c r="I636" s="1"/>
      <c r="J636"/>
      <c r="K636"/>
      <c r="L636" s="1"/>
    </row>
    <row r="637" spans="6:12">
      <c r="F637" s="1"/>
      <c r="G637"/>
      <c r="H637"/>
      <c r="I637" s="1"/>
      <c r="J637"/>
      <c r="K637"/>
      <c r="L637" s="1"/>
    </row>
    <row r="638" spans="6:12">
      <c r="F638" s="1"/>
      <c r="G638"/>
      <c r="H638"/>
      <c r="I638" s="1"/>
      <c r="J638"/>
      <c r="K638"/>
      <c r="L638" s="1"/>
    </row>
    <row r="639" spans="6:12">
      <c r="F639" s="1"/>
      <c r="G639"/>
      <c r="H639"/>
      <c r="I639" s="1"/>
      <c r="J639"/>
      <c r="K639"/>
      <c r="L639" s="1"/>
    </row>
    <row r="640" spans="6:12">
      <c r="F640" s="1"/>
      <c r="G640"/>
      <c r="H640"/>
      <c r="I640" s="1"/>
      <c r="J640"/>
      <c r="K640"/>
      <c r="L640" s="1"/>
    </row>
    <row r="641" spans="6:12">
      <c r="F641" s="1"/>
      <c r="G641"/>
      <c r="H641"/>
      <c r="I641" s="1"/>
      <c r="J641"/>
      <c r="K641"/>
      <c r="L641" s="1"/>
    </row>
    <row r="642" spans="6:12">
      <c r="F642" s="1"/>
      <c r="G642"/>
      <c r="H642"/>
      <c r="I642" s="1"/>
      <c r="J642"/>
      <c r="K642"/>
      <c r="L642" s="1"/>
    </row>
    <row r="643" spans="6:12">
      <c r="F643" s="1"/>
      <c r="G643"/>
      <c r="H643"/>
      <c r="I643" s="1"/>
      <c r="J643"/>
      <c r="K643"/>
      <c r="L643" s="1"/>
    </row>
    <row r="644" spans="6:12">
      <c r="F644" s="1"/>
      <c r="G644"/>
      <c r="H644"/>
      <c r="I644" s="1"/>
      <c r="J644"/>
      <c r="K644"/>
      <c r="L644" s="1"/>
    </row>
    <row r="645" spans="6:12">
      <c r="F645" s="1"/>
      <c r="G645"/>
      <c r="H645"/>
      <c r="I645" s="1"/>
      <c r="J645"/>
      <c r="K645"/>
      <c r="L645" s="1"/>
    </row>
    <row r="646" spans="6:12">
      <c r="F646" s="1"/>
      <c r="G646"/>
      <c r="H646"/>
      <c r="I646" s="1"/>
      <c r="J646"/>
      <c r="K646"/>
      <c r="L646" s="1"/>
    </row>
    <row r="647" spans="6:12">
      <c r="F647" s="1"/>
      <c r="G647"/>
      <c r="H647"/>
      <c r="I647" s="1"/>
      <c r="J647"/>
      <c r="K647"/>
      <c r="L647" s="1"/>
    </row>
    <row r="648" spans="6:12">
      <c r="F648" s="1"/>
      <c r="G648"/>
      <c r="H648"/>
      <c r="I648" s="1"/>
      <c r="J648"/>
      <c r="K648"/>
      <c r="L648" s="1"/>
    </row>
    <row r="649" spans="6:12">
      <c r="F649" s="1"/>
      <c r="G649"/>
      <c r="H649"/>
      <c r="I649" s="1"/>
      <c r="J649"/>
      <c r="K649"/>
      <c r="L649" s="1"/>
    </row>
    <row r="650" spans="6:12">
      <c r="F650" s="1"/>
      <c r="G650"/>
      <c r="H650"/>
      <c r="I650" s="1"/>
      <c r="J650"/>
      <c r="K650"/>
      <c r="L650" s="1"/>
    </row>
    <row r="651" spans="6:12">
      <c r="F651" s="1"/>
      <c r="G651"/>
      <c r="H651"/>
      <c r="I651" s="1"/>
      <c r="J651"/>
      <c r="K651"/>
      <c r="L651" s="1"/>
    </row>
    <row r="652" spans="6:12">
      <c r="F652" s="1"/>
      <c r="G652"/>
      <c r="H652"/>
      <c r="I652" s="1"/>
      <c r="J652"/>
      <c r="K652"/>
      <c r="L652" s="1"/>
    </row>
    <row r="653" spans="6:12">
      <c r="F653" s="1"/>
      <c r="G653"/>
      <c r="H653"/>
      <c r="I653" s="1"/>
      <c r="J653"/>
      <c r="K653"/>
      <c r="L653" s="1"/>
    </row>
    <row r="654" spans="6:12">
      <c r="F654" s="1"/>
      <c r="G654"/>
      <c r="H654"/>
      <c r="I654" s="1"/>
      <c r="J654"/>
      <c r="K654"/>
      <c r="L654" s="1"/>
    </row>
    <row r="655" spans="6:12">
      <c r="F655" s="1"/>
      <c r="G655"/>
      <c r="H655"/>
      <c r="I655" s="1"/>
      <c r="J655"/>
      <c r="K655"/>
      <c r="L655" s="1"/>
    </row>
    <row r="656" spans="6:12">
      <c r="F656" s="1"/>
      <c r="G656"/>
      <c r="H656"/>
      <c r="I656" s="1"/>
      <c r="J656"/>
      <c r="K656"/>
      <c r="L656" s="1"/>
    </row>
    <row r="657" spans="6:12">
      <c r="F657" s="1"/>
      <c r="G657"/>
      <c r="H657"/>
      <c r="I657" s="1"/>
      <c r="J657"/>
      <c r="K657"/>
      <c r="L657" s="1"/>
    </row>
    <row r="658" spans="6:12">
      <c r="F658" s="1"/>
      <c r="G658"/>
      <c r="H658"/>
      <c r="I658" s="1"/>
      <c r="J658"/>
      <c r="K658"/>
      <c r="L658" s="1"/>
    </row>
    <row r="659" spans="6:12">
      <c r="F659" s="1"/>
      <c r="G659"/>
      <c r="H659"/>
      <c r="I659" s="1"/>
      <c r="J659"/>
      <c r="K659"/>
      <c r="L659" s="1"/>
    </row>
    <row r="660" spans="6:12">
      <c r="F660" s="1"/>
      <c r="G660"/>
      <c r="H660"/>
      <c r="I660" s="1"/>
      <c r="J660"/>
      <c r="K660"/>
      <c r="L660" s="1"/>
    </row>
    <row r="661" spans="6:12">
      <c r="F661" s="1"/>
      <c r="G661"/>
      <c r="H661"/>
      <c r="I661" s="1"/>
      <c r="J661"/>
      <c r="K661"/>
      <c r="L661" s="1"/>
    </row>
    <row r="662" spans="6:12">
      <c r="F662" s="1"/>
      <c r="G662"/>
      <c r="H662"/>
      <c r="I662" s="1"/>
      <c r="J662"/>
      <c r="K662"/>
      <c r="L662" s="1"/>
    </row>
    <row r="663" spans="6:12">
      <c r="F663" s="1"/>
      <c r="G663"/>
      <c r="H663"/>
      <c r="I663" s="1"/>
      <c r="J663"/>
      <c r="K663"/>
      <c r="L663" s="1"/>
    </row>
    <row r="664" spans="6:12">
      <c r="F664" s="1"/>
      <c r="G664"/>
      <c r="H664"/>
      <c r="I664" s="1"/>
      <c r="J664"/>
      <c r="K664"/>
      <c r="L664" s="1"/>
    </row>
    <row r="665" spans="6:12">
      <c r="F665" s="1"/>
      <c r="G665"/>
      <c r="H665"/>
      <c r="I665" s="1"/>
      <c r="J665"/>
      <c r="K665"/>
      <c r="L665" s="1"/>
    </row>
    <row r="666" spans="6:12">
      <c r="F666" s="1"/>
      <c r="G666"/>
      <c r="H666"/>
      <c r="I666" s="1"/>
      <c r="J666"/>
      <c r="K666"/>
      <c r="L666" s="1"/>
    </row>
    <row r="667" spans="6:12">
      <c r="F667" s="1"/>
      <c r="G667"/>
      <c r="H667"/>
      <c r="I667" s="1"/>
      <c r="J667"/>
      <c r="K667"/>
      <c r="L667" s="1"/>
    </row>
    <row r="668" spans="6:12">
      <c r="F668" s="1"/>
      <c r="G668"/>
      <c r="H668"/>
      <c r="I668" s="1"/>
      <c r="J668"/>
      <c r="K668"/>
      <c r="L668" s="1"/>
    </row>
    <row r="669" spans="6:12">
      <c r="F669" s="1"/>
      <c r="G669"/>
      <c r="H669"/>
      <c r="I669" s="1"/>
      <c r="J669"/>
      <c r="K669"/>
      <c r="L669" s="1"/>
    </row>
    <row r="670" spans="6:12">
      <c r="F670" s="1"/>
      <c r="G670"/>
      <c r="H670"/>
      <c r="I670" s="1"/>
      <c r="J670"/>
      <c r="K670"/>
      <c r="L670" s="1"/>
    </row>
    <row r="671" spans="6:12">
      <c r="F671" s="1"/>
      <c r="G671"/>
      <c r="H671"/>
      <c r="I671" s="1"/>
      <c r="J671"/>
      <c r="K671"/>
      <c r="L671" s="1"/>
    </row>
    <row r="672" spans="6:12">
      <c r="F672" s="1"/>
      <c r="G672"/>
      <c r="H672"/>
      <c r="I672" s="1"/>
      <c r="J672"/>
      <c r="K672"/>
      <c r="L672" s="1"/>
    </row>
    <row r="673" spans="6:12">
      <c r="F673" s="1"/>
      <c r="G673"/>
      <c r="H673"/>
      <c r="I673" s="1"/>
      <c r="J673"/>
      <c r="K673"/>
      <c r="L673" s="1"/>
    </row>
    <row r="674" spans="6:12">
      <c r="F674" s="1"/>
      <c r="G674"/>
      <c r="H674"/>
      <c r="I674" s="1"/>
      <c r="J674"/>
      <c r="K674"/>
      <c r="L674" s="1"/>
    </row>
    <row r="675" spans="6:12">
      <c r="F675" s="1"/>
      <c r="G675"/>
      <c r="H675"/>
      <c r="I675" s="1"/>
      <c r="J675"/>
      <c r="K675"/>
      <c r="L675" s="1"/>
    </row>
    <row r="676" spans="6:12">
      <c r="F676" s="1"/>
      <c r="G676"/>
      <c r="H676"/>
      <c r="I676" s="1"/>
      <c r="J676"/>
      <c r="K676"/>
      <c r="L676" s="1"/>
    </row>
    <row r="677" spans="6:12">
      <c r="F677" s="1"/>
      <c r="G677"/>
      <c r="H677"/>
      <c r="I677" s="1"/>
      <c r="J677"/>
      <c r="K677"/>
      <c r="L677" s="1"/>
    </row>
    <row r="678" spans="6:12">
      <c r="F678" s="1"/>
      <c r="G678"/>
      <c r="H678"/>
      <c r="I678" s="1"/>
      <c r="J678"/>
      <c r="K678"/>
      <c r="L678" s="1"/>
    </row>
    <row r="679" spans="6:12">
      <c r="F679" s="1"/>
      <c r="G679"/>
      <c r="H679"/>
      <c r="I679" s="1"/>
      <c r="J679"/>
      <c r="K679"/>
      <c r="L679" s="1"/>
    </row>
    <row r="680" spans="6:12">
      <c r="F680" s="1"/>
      <c r="G680"/>
      <c r="H680"/>
      <c r="I680" s="1"/>
      <c r="J680"/>
      <c r="K680"/>
      <c r="L680" s="1"/>
    </row>
    <row r="681" spans="6:12">
      <c r="F681" s="1"/>
      <c r="G681"/>
      <c r="H681"/>
      <c r="I681" s="1"/>
      <c r="J681"/>
      <c r="K681"/>
      <c r="L681" s="1"/>
    </row>
    <row r="682" spans="6:12">
      <c r="F682" s="1"/>
      <c r="G682"/>
      <c r="H682"/>
      <c r="I682" s="1"/>
      <c r="J682"/>
      <c r="K682"/>
      <c r="L682" s="1"/>
    </row>
    <row r="683" spans="6:12">
      <c r="F683" s="1"/>
      <c r="G683"/>
      <c r="H683"/>
      <c r="I683" s="1"/>
      <c r="J683"/>
      <c r="K683"/>
      <c r="L683" s="1"/>
    </row>
    <row r="684" spans="6:12">
      <c r="F684" s="1"/>
      <c r="G684"/>
      <c r="H684"/>
      <c r="I684" s="1"/>
      <c r="J684"/>
      <c r="K684"/>
      <c r="L684" s="1"/>
    </row>
    <row r="685" spans="6:12">
      <c r="F685" s="1"/>
      <c r="G685"/>
      <c r="H685"/>
      <c r="I685" s="1"/>
      <c r="J685"/>
      <c r="K685"/>
      <c r="L685" s="1"/>
    </row>
    <row r="686" spans="6:12">
      <c r="F686" s="1"/>
      <c r="G686"/>
      <c r="H686"/>
      <c r="I686" s="1"/>
      <c r="J686"/>
      <c r="K686"/>
      <c r="L686" s="1"/>
    </row>
    <row r="687" spans="6:12">
      <c r="F687" s="1"/>
      <c r="G687"/>
      <c r="H687"/>
      <c r="I687" s="1"/>
      <c r="J687"/>
      <c r="K687"/>
      <c r="L687" s="1"/>
    </row>
    <row r="688" spans="6:12">
      <c r="F688" s="1"/>
      <c r="G688"/>
      <c r="H688"/>
      <c r="I688" s="1"/>
      <c r="J688"/>
      <c r="K688"/>
      <c r="L688" s="1"/>
    </row>
    <row r="689" spans="6:12">
      <c r="F689" s="1"/>
      <c r="G689"/>
      <c r="H689"/>
      <c r="I689" s="1"/>
      <c r="J689"/>
      <c r="K689"/>
      <c r="L689" s="1"/>
    </row>
    <row r="690" spans="6:12">
      <c r="F690" s="1"/>
      <c r="G690"/>
      <c r="H690"/>
      <c r="I690" s="1"/>
      <c r="J690"/>
      <c r="K690"/>
      <c r="L690" s="1"/>
    </row>
    <row r="691" spans="6:12">
      <c r="F691" s="1"/>
      <c r="G691"/>
      <c r="H691"/>
      <c r="I691" s="1"/>
      <c r="J691"/>
      <c r="K691"/>
      <c r="L691" s="1"/>
    </row>
    <row r="692" spans="6:12">
      <c r="F692" s="1"/>
      <c r="G692"/>
      <c r="H692"/>
      <c r="I692" s="1"/>
      <c r="J692"/>
      <c r="K692"/>
      <c r="L692" s="1"/>
    </row>
    <row r="693" spans="6:12">
      <c r="F693" s="1"/>
      <c r="G693"/>
      <c r="H693"/>
      <c r="I693" s="1"/>
      <c r="J693"/>
      <c r="K693"/>
      <c r="L693" s="1"/>
    </row>
    <row r="694" spans="6:12">
      <c r="F694" s="1"/>
      <c r="G694"/>
      <c r="H694"/>
      <c r="I694" s="1"/>
      <c r="J694"/>
      <c r="K694"/>
      <c r="L694" s="1"/>
    </row>
    <row r="695" spans="6:12">
      <c r="F695" s="1"/>
      <c r="G695"/>
      <c r="H695"/>
      <c r="I695" s="1"/>
      <c r="J695"/>
      <c r="K695"/>
      <c r="L695" s="1"/>
    </row>
    <row r="696" spans="6:12">
      <c r="F696" s="1"/>
      <c r="G696"/>
      <c r="H696"/>
      <c r="I696" s="1"/>
      <c r="J696"/>
      <c r="K696"/>
      <c r="L696" s="1"/>
    </row>
    <row r="697" spans="6:12">
      <c r="F697" s="1"/>
      <c r="G697"/>
      <c r="H697"/>
      <c r="I697" s="1"/>
      <c r="J697"/>
      <c r="K697"/>
      <c r="L697" s="1"/>
    </row>
    <row r="698" spans="6:12">
      <c r="F698" s="1"/>
      <c r="G698"/>
      <c r="H698"/>
      <c r="I698" s="1"/>
      <c r="J698"/>
      <c r="K698"/>
      <c r="L698" s="1"/>
    </row>
    <row r="699" spans="6:12">
      <c r="F699" s="1"/>
      <c r="G699"/>
      <c r="H699"/>
      <c r="I699" s="1"/>
      <c r="J699"/>
      <c r="K699"/>
      <c r="L699" s="1"/>
    </row>
    <row r="700" spans="6:12">
      <c r="F700" s="1"/>
      <c r="G700"/>
      <c r="H700"/>
      <c r="I700" s="1"/>
      <c r="J700"/>
      <c r="K700"/>
      <c r="L700" s="1"/>
    </row>
    <row r="701" spans="6:12">
      <c r="F701" s="1"/>
      <c r="G701"/>
      <c r="H701"/>
      <c r="I701" s="1"/>
      <c r="J701"/>
      <c r="K701"/>
      <c r="L701" s="1"/>
    </row>
    <row r="702" spans="6:12">
      <c r="F702" s="1"/>
      <c r="G702"/>
      <c r="H702"/>
      <c r="I702" s="1"/>
      <c r="J702"/>
      <c r="K702"/>
      <c r="L702" s="1"/>
    </row>
    <row r="703" spans="6:12">
      <c r="F703" s="1"/>
      <c r="G703"/>
      <c r="H703"/>
      <c r="I703" s="1"/>
      <c r="J703"/>
      <c r="K703"/>
      <c r="L703" s="1"/>
    </row>
    <row r="704" spans="6:12">
      <c r="F704" s="1"/>
      <c r="G704"/>
      <c r="H704"/>
      <c r="I704" s="1"/>
      <c r="J704"/>
      <c r="K704"/>
      <c r="L704" s="1"/>
    </row>
    <row r="705" spans="6:12">
      <c r="F705" s="1"/>
      <c r="G705"/>
      <c r="H705"/>
      <c r="I705" s="1"/>
      <c r="J705"/>
      <c r="K705"/>
      <c r="L705" s="1"/>
    </row>
    <row r="706" spans="6:12">
      <c r="F706" s="1"/>
      <c r="G706"/>
      <c r="H706"/>
      <c r="I706" s="1"/>
      <c r="J706"/>
      <c r="K706"/>
      <c r="L706" s="1"/>
    </row>
    <row r="707" spans="6:12">
      <c r="F707" s="1"/>
      <c r="G707"/>
      <c r="H707"/>
      <c r="I707" s="1"/>
      <c r="J707"/>
      <c r="K707"/>
      <c r="L707" s="1"/>
    </row>
    <row r="708" spans="6:12">
      <c r="F708" s="1"/>
      <c r="G708"/>
      <c r="H708"/>
      <c r="I708" s="1"/>
      <c r="J708"/>
      <c r="K708"/>
      <c r="L708" s="1"/>
    </row>
    <row r="709" spans="6:12">
      <c r="F709" s="1"/>
      <c r="G709"/>
      <c r="H709"/>
      <c r="I709" s="1"/>
      <c r="J709"/>
      <c r="K709"/>
      <c r="L709" s="1"/>
    </row>
    <row r="710" spans="6:12">
      <c r="F710" s="1"/>
      <c r="G710"/>
      <c r="H710"/>
      <c r="I710" s="1"/>
      <c r="J710"/>
      <c r="K710"/>
      <c r="L710" s="1"/>
    </row>
    <row r="711" spans="6:12">
      <c r="F711" s="1"/>
      <c r="G711"/>
      <c r="H711"/>
      <c r="I711" s="1"/>
      <c r="J711"/>
      <c r="K711"/>
      <c r="L711" s="1"/>
    </row>
    <row r="712" spans="6:12">
      <c r="F712" s="1"/>
      <c r="G712"/>
      <c r="H712"/>
      <c r="I712" s="1"/>
      <c r="J712"/>
      <c r="K712"/>
      <c r="L712" s="1"/>
    </row>
    <row r="713" spans="6:12">
      <c r="F713" s="1"/>
      <c r="G713"/>
      <c r="H713"/>
      <c r="I713" s="1"/>
      <c r="J713"/>
      <c r="K713"/>
      <c r="L713" s="1"/>
    </row>
    <row r="714" spans="6:12">
      <c r="F714" s="1"/>
      <c r="G714"/>
      <c r="H714"/>
      <c r="I714" s="1"/>
      <c r="J714"/>
      <c r="K714"/>
      <c r="L714" s="1"/>
    </row>
    <row r="715" spans="6:12">
      <c r="F715" s="1"/>
      <c r="G715"/>
      <c r="H715"/>
      <c r="I715" s="1"/>
      <c r="J715"/>
      <c r="K715"/>
      <c r="L715" s="1"/>
    </row>
    <row r="716" spans="6:12">
      <c r="F716" s="1"/>
      <c r="G716"/>
      <c r="H716"/>
      <c r="I716" s="1"/>
      <c r="J716"/>
      <c r="K716"/>
      <c r="L716" s="1"/>
    </row>
    <row r="717" spans="6:12">
      <c r="F717" s="1"/>
      <c r="G717"/>
      <c r="H717"/>
      <c r="I717" s="1"/>
      <c r="J717"/>
      <c r="K717"/>
      <c r="L717" s="1"/>
    </row>
    <row r="718" spans="6:12">
      <c r="F718" s="1"/>
      <c r="G718"/>
      <c r="H718"/>
      <c r="I718" s="1"/>
      <c r="J718"/>
      <c r="K718"/>
      <c r="L718" s="1"/>
    </row>
    <row r="719" spans="6:12">
      <c r="F719" s="1"/>
      <c r="G719"/>
      <c r="H719"/>
      <c r="I719" s="1"/>
      <c r="J719"/>
      <c r="K719"/>
      <c r="L719" s="1"/>
    </row>
    <row r="720" spans="6:12">
      <c r="F720" s="1"/>
      <c r="G720"/>
      <c r="H720"/>
      <c r="I720" s="1"/>
      <c r="J720"/>
      <c r="K720"/>
      <c r="L720" s="1"/>
    </row>
    <row r="721" spans="6:12">
      <c r="F721" s="1"/>
      <c r="G721"/>
      <c r="H721"/>
      <c r="I721" s="1"/>
      <c r="J721"/>
      <c r="K721"/>
      <c r="L721" s="1"/>
    </row>
    <row r="722" spans="6:12">
      <c r="F722" s="1"/>
      <c r="G722"/>
      <c r="H722"/>
      <c r="I722" s="1"/>
      <c r="J722"/>
      <c r="K722"/>
      <c r="L722" s="1"/>
    </row>
    <row r="723" spans="6:12">
      <c r="F723" s="1"/>
      <c r="G723"/>
      <c r="H723"/>
      <c r="I723" s="1"/>
      <c r="J723"/>
      <c r="K723"/>
      <c r="L723" s="1"/>
    </row>
    <row r="724" spans="6:12">
      <c r="F724" s="1"/>
      <c r="G724"/>
      <c r="H724"/>
      <c r="I724" s="1"/>
      <c r="J724"/>
      <c r="K724"/>
      <c r="L724" s="1"/>
    </row>
    <row r="725" spans="6:12">
      <c r="F725" s="1"/>
      <c r="G725"/>
      <c r="H725"/>
      <c r="I725" s="1"/>
      <c r="J725"/>
      <c r="K725"/>
      <c r="L725" s="1"/>
    </row>
    <row r="726" spans="6:12">
      <c r="F726" s="1"/>
      <c r="G726"/>
      <c r="H726"/>
      <c r="I726" s="1"/>
      <c r="J726"/>
      <c r="K726"/>
      <c r="L726" s="1"/>
    </row>
    <row r="727" spans="6:12">
      <c r="F727" s="1"/>
      <c r="G727"/>
      <c r="H727"/>
      <c r="I727" s="1"/>
      <c r="J727"/>
      <c r="K727"/>
      <c r="L727" s="1"/>
    </row>
    <row r="728" spans="6:12">
      <c r="F728" s="1"/>
      <c r="G728"/>
      <c r="H728"/>
      <c r="I728" s="1"/>
      <c r="J728"/>
      <c r="K728"/>
      <c r="L728" s="1"/>
    </row>
    <row r="729" spans="6:12">
      <c r="F729" s="1"/>
      <c r="G729"/>
      <c r="H729"/>
      <c r="I729" s="1"/>
      <c r="J729"/>
      <c r="K729"/>
      <c r="L729" s="1"/>
    </row>
    <row r="730" spans="6:12">
      <c r="F730" s="1"/>
      <c r="G730"/>
      <c r="H730"/>
      <c r="I730" s="1"/>
      <c r="J730"/>
      <c r="K730"/>
      <c r="L730" s="1"/>
    </row>
    <row r="731" spans="6:12">
      <c r="F731" s="1"/>
      <c r="G731"/>
      <c r="H731"/>
      <c r="I731" s="1"/>
      <c r="J731"/>
      <c r="K731"/>
      <c r="L731" s="1"/>
    </row>
    <row r="732" spans="6:12">
      <c r="F732" s="1"/>
      <c r="G732"/>
      <c r="H732"/>
      <c r="I732" s="1"/>
      <c r="J732"/>
      <c r="K732"/>
      <c r="L732" s="1"/>
    </row>
    <row r="733" spans="6:12">
      <c r="F733" s="1"/>
      <c r="G733"/>
      <c r="H733"/>
      <c r="I733" s="1"/>
      <c r="J733"/>
      <c r="K733"/>
      <c r="L733" s="1"/>
    </row>
    <row r="734" spans="6:12">
      <c r="F734" s="1"/>
      <c r="G734"/>
      <c r="H734"/>
      <c r="I734" s="1"/>
      <c r="J734"/>
      <c r="K734"/>
      <c r="L734" s="1"/>
    </row>
    <row r="735" spans="6:12">
      <c r="F735" s="1"/>
      <c r="G735"/>
      <c r="H735"/>
      <c r="I735" s="1"/>
      <c r="J735"/>
      <c r="K735"/>
      <c r="L735" s="1"/>
    </row>
    <row r="736" spans="6:12">
      <c r="F736" s="1"/>
      <c r="G736"/>
      <c r="H736"/>
      <c r="I736" s="1"/>
      <c r="J736"/>
      <c r="K736"/>
      <c r="L736" s="1"/>
    </row>
    <row r="737" spans="6:12">
      <c r="F737" s="1"/>
      <c r="G737"/>
      <c r="H737"/>
      <c r="I737" s="1"/>
      <c r="J737"/>
      <c r="K737"/>
      <c r="L737" s="1"/>
    </row>
    <row r="738" spans="6:12">
      <c r="F738" s="1"/>
      <c r="G738"/>
      <c r="H738"/>
      <c r="I738" s="1"/>
      <c r="J738"/>
      <c r="K738"/>
      <c r="L738" s="1"/>
    </row>
    <row r="739" spans="6:12">
      <c r="F739" s="1"/>
      <c r="G739"/>
      <c r="H739"/>
      <c r="I739" s="1"/>
      <c r="J739"/>
      <c r="K739"/>
      <c r="L739" s="1"/>
    </row>
    <row r="740" spans="6:12">
      <c r="F740" s="1"/>
      <c r="G740"/>
      <c r="H740"/>
      <c r="I740" s="1"/>
      <c r="J740"/>
      <c r="K740"/>
      <c r="L740" s="1"/>
    </row>
    <row r="741" spans="6:12">
      <c r="F741" s="1"/>
      <c r="G741"/>
      <c r="H741"/>
      <c r="I741" s="1"/>
      <c r="J741"/>
      <c r="K741"/>
      <c r="L741" s="1"/>
    </row>
    <row r="742" spans="6:12">
      <c r="F742" s="1"/>
      <c r="G742"/>
      <c r="H742"/>
      <c r="I742" s="1"/>
      <c r="J742"/>
      <c r="K742"/>
      <c r="L742" s="1"/>
    </row>
    <row r="743" spans="6:12">
      <c r="F743" s="1"/>
      <c r="G743"/>
      <c r="H743"/>
      <c r="I743" s="1"/>
      <c r="J743"/>
      <c r="K743"/>
      <c r="L743" s="1"/>
    </row>
    <row r="744" spans="6:12">
      <c r="F744" s="1"/>
      <c r="G744"/>
      <c r="H744"/>
      <c r="I744" s="1"/>
      <c r="J744"/>
      <c r="K744"/>
      <c r="L744" s="1"/>
    </row>
    <row r="745" spans="6:12">
      <c r="F745" s="1"/>
      <c r="G745"/>
      <c r="H745"/>
      <c r="I745" s="1"/>
      <c r="J745"/>
      <c r="K745"/>
      <c r="L745" s="1"/>
    </row>
    <row r="746" spans="6:12">
      <c r="F746" s="1"/>
      <c r="G746"/>
      <c r="H746"/>
      <c r="I746" s="1"/>
      <c r="J746"/>
      <c r="K746"/>
      <c r="L746" s="1"/>
    </row>
    <row r="747" spans="6:12">
      <c r="F747" s="1"/>
      <c r="G747"/>
      <c r="H747"/>
      <c r="I747" s="1"/>
      <c r="J747"/>
      <c r="K747"/>
      <c r="L747" s="1"/>
    </row>
    <row r="748" spans="6:12">
      <c r="F748" s="1"/>
      <c r="G748"/>
      <c r="H748"/>
      <c r="I748" s="1"/>
      <c r="J748"/>
      <c r="K748"/>
      <c r="L748" s="1"/>
    </row>
    <row r="749" spans="6:12">
      <c r="F749" s="1"/>
      <c r="G749"/>
      <c r="H749"/>
      <c r="I749" s="1"/>
      <c r="J749"/>
      <c r="K749"/>
      <c r="L749" s="1"/>
    </row>
    <row r="750" spans="6:12">
      <c r="F750" s="1"/>
      <c r="G750"/>
      <c r="H750"/>
      <c r="I750" s="1"/>
      <c r="J750"/>
      <c r="K750"/>
      <c r="L750" s="1"/>
    </row>
    <row r="751" spans="6:12">
      <c r="F751" s="1"/>
      <c r="G751"/>
      <c r="H751"/>
      <c r="I751" s="1"/>
      <c r="J751"/>
      <c r="K751"/>
      <c r="L751" s="1"/>
    </row>
    <row r="752" spans="6:12">
      <c r="F752" s="1"/>
      <c r="G752"/>
      <c r="H752"/>
      <c r="I752" s="1"/>
      <c r="J752"/>
      <c r="K752"/>
      <c r="L752" s="1"/>
    </row>
    <row r="753" spans="6:12">
      <c r="F753" s="1"/>
      <c r="G753"/>
      <c r="H753"/>
      <c r="I753" s="1"/>
      <c r="J753"/>
      <c r="K753"/>
      <c r="L753" s="1"/>
    </row>
    <row r="754" spans="6:12">
      <c r="F754" s="1"/>
      <c r="G754"/>
      <c r="H754"/>
      <c r="I754" s="1"/>
      <c r="J754"/>
      <c r="K754"/>
      <c r="L754" s="1"/>
    </row>
    <row r="755" spans="6:12">
      <c r="F755" s="1"/>
      <c r="G755"/>
      <c r="H755"/>
      <c r="I755" s="1"/>
      <c r="J755"/>
      <c r="K755"/>
      <c r="L755" s="1"/>
    </row>
    <row r="756" spans="6:12">
      <c r="F756" s="1"/>
      <c r="G756"/>
      <c r="H756"/>
      <c r="I756" s="1"/>
      <c r="J756"/>
      <c r="K756"/>
      <c r="L756" s="1"/>
    </row>
    <row r="757" spans="6:12">
      <c r="F757" s="1"/>
      <c r="G757"/>
      <c r="H757"/>
      <c r="I757" s="1"/>
      <c r="J757"/>
      <c r="K757"/>
      <c r="L757" s="1"/>
    </row>
    <row r="758" spans="6:12">
      <c r="F758" s="1"/>
      <c r="G758"/>
      <c r="H758"/>
      <c r="I758" s="1"/>
      <c r="J758"/>
      <c r="K758"/>
      <c r="L758" s="1"/>
    </row>
    <row r="759" spans="6:12">
      <c r="F759" s="1"/>
      <c r="G759"/>
      <c r="H759"/>
      <c r="I759" s="1"/>
      <c r="J759"/>
      <c r="K759"/>
      <c r="L759" s="1"/>
    </row>
    <row r="760" spans="6:12">
      <c r="F760" s="1"/>
      <c r="G760"/>
      <c r="H760"/>
      <c r="I760" s="1"/>
      <c r="J760"/>
      <c r="K760"/>
      <c r="L760" s="1"/>
    </row>
    <row r="761" spans="6:12">
      <c r="F761" s="1"/>
      <c r="G761"/>
      <c r="H761"/>
      <c r="I761" s="1"/>
      <c r="J761"/>
      <c r="K761"/>
      <c r="L761" s="1"/>
    </row>
    <row r="762" spans="6:12">
      <c r="F762" s="1"/>
      <c r="G762"/>
      <c r="H762"/>
      <c r="I762" s="1"/>
      <c r="J762"/>
      <c r="K762"/>
      <c r="L762" s="1"/>
    </row>
    <row r="763" spans="6:12">
      <c r="F763" s="1"/>
      <c r="G763"/>
      <c r="H763"/>
      <c r="I763" s="1"/>
      <c r="J763"/>
      <c r="K763"/>
      <c r="L763" s="1"/>
    </row>
    <row r="764" spans="6:12">
      <c r="F764" s="1"/>
      <c r="G764"/>
      <c r="H764"/>
      <c r="I764" s="1"/>
      <c r="J764"/>
      <c r="K764"/>
      <c r="L764" s="1"/>
    </row>
    <row r="765" spans="6:12">
      <c r="F765" s="1"/>
      <c r="G765"/>
      <c r="H765"/>
      <c r="I765" s="1"/>
      <c r="J765"/>
      <c r="K765"/>
      <c r="L765" s="1"/>
    </row>
    <row r="766" spans="6:12">
      <c r="F766" s="1"/>
      <c r="G766"/>
      <c r="H766"/>
      <c r="I766" s="1"/>
      <c r="J766"/>
      <c r="K766"/>
      <c r="L766" s="1"/>
    </row>
    <row r="767" spans="6:12">
      <c r="F767" s="1"/>
      <c r="G767"/>
      <c r="H767"/>
      <c r="I767" s="1"/>
      <c r="J767"/>
      <c r="K767"/>
      <c r="L767" s="1"/>
    </row>
    <row r="768" spans="6:12">
      <c r="F768" s="1"/>
      <c r="G768"/>
      <c r="H768"/>
      <c r="I768" s="1"/>
      <c r="J768"/>
      <c r="K768"/>
      <c r="L768" s="1"/>
    </row>
    <row r="769" spans="6:12">
      <c r="F769" s="1"/>
      <c r="G769"/>
      <c r="H769"/>
      <c r="I769" s="1"/>
      <c r="J769"/>
      <c r="K769"/>
      <c r="L769" s="1"/>
    </row>
    <row r="770" spans="6:12">
      <c r="F770" s="1"/>
      <c r="G770"/>
      <c r="H770"/>
      <c r="I770" s="1"/>
      <c r="J770"/>
      <c r="K770"/>
      <c r="L770" s="1"/>
    </row>
    <row r="771" spans="6:12">
      <c r="F771" s="1"/>
      <c r="G771"/>
      <c r="H771"/>
      <c r="I771" s="1"/>
      <c r="J771"/>
      <c r="K771"/>
      <c r="L771" s="1"/>
    </row>
    <row r="772" spans="6:12">
      <c r="F772" s="1"/>
      <c r="G772"/>
      <c r="H772"/>
      <c r="I772" s="1"/>
      <c r="J772"/>
      <c r="K772"/>
      <c r="L772" s="1"/>
    </row>
    <row r="773" spans="6:12">
      <c r="F773" s="1"/>
      <c r="G773"/>
      <c r="H773"/>
      <c r="I773" s="1"/>
      <c r="J773"/>
      <c r="K773"/>
      <c r="L773" s="1"/>
    </row>
    <row r="774" spans="6:12">
      <c r="F774" s="1"/>
      <c r="G774"/>
      <c r="H774"/>
      <c r="I774" s="1"/>
      <c r="J774"/>
      <c r="K774"/>
      <c r="L774" s="1"/>
    </row>
    <row r="775" spans="6:12">
      <c r="F775" s="1"/>
      <c r="G775"/>
      <c r="H775"/>
      <c r="I775" s="1"/>
      <c r="J775"/>
      <c r="K775"/>
      <c r="L775" s="1"/>
    </row>
    <row r="776" spans="6:12">
      <c r="F776" s="1"/>
      <c r="G776"/>
      <c r="H776"/>
      <c r="I776" s="1"/>
      <c r="J776"/>
      <c r="K776"/>
      <c r="L776" s="1"/>
    </row>
    <row r="777" spans="6:12">
      <c r="F777" s="1"/>
      <c r="G777"/>
      <c r="H777"/>
      <c r="I777" s="1"/>
      <c r="J777"/>
      <c r="K777"/>
      <c r="L777" s="1"/>
    </row>
    <row r="778" spans="6:12">
      <c r="F778" s="1"/>
      <c r="G778"/>
      <c r="H778"/>
      <c r="I778" s="1"/>
      <c r="J778"/>
      <c r="K778"/>
      <c r="L778" s="1"/>
    </row>
    <row r="779" spans="6:12">
      <c r="F779" s="1"/>
      <c r="G779"/>
      <c r="H779"/>
      <c r="I779" s="1"/>
      <c r="J779"/>
      <c r="K779"/>
      <c r="L779" s="1"/>
    </row>
    <row r="780" spans="6:12">
      <c r="F780" s="1"/>
      <c r="G780"/>
      <c r="H780"/>
      <c r="I780" s="1"/>
      <c r="J780"/>
      <c r="K780"/>
      <c r="L780" s="1"/>
    </row>
    <row r="781" spans="6:12">
      <c r="F781" s="1"/>
      <c r="G781"/>
      <c r="H781"/>
      <c r="I781" s="1"/>
      <c r="J781"/>
      <c r="K781"/>
      <c r="L781" s="1"/>
    </row>
    <row r="782" spans="6:12">
      <c r="F782" s="1"/>
      <c r="G782"/>
      <c r="H782"/>
      <c r="I782" s="1"/>
      <c r="J782"/>
      <c r="K782"/>
      <c r="L782" s="1"/>
    </row>
    <row r="783" spans="6:12">
      <c r="F783" s="1"/>
      <c r="G783"/>
      <c r="H783"/>
      <c r="I783" s="1"/>
      <c r="J783"/>
      <c r="K783"/>
      <c r="L783" s="1"/>
    </row>
    <row r="784" spans="6:12">
      <c r="F784" s="1"/>
      <c r="G784"/>
      <c r="H784"/>
      <c r="I784" s="1"/>
      <c r="J784"/>
      <c r="K784"/>
      <c r="L784" s="1"/>
    </row>
    <row r="785" spans="6:12">
      <c r="F785" s="1"/>
      <c r="G785"/>
      <c r="H785"/>
      <c r="I785" s="1"/>
      <c r="J785"/>
      <c r="K785"/>
      <c r="L785" s="1"/>
    </row>
    <row r="786" spans="6:12">
      <c r="F786" s="1"/>
      <c r="G786"/>
      <c r="H786"/>
      <c r="I786" s="1"/>
      <c r="J786"/>
      <c r="K786"/>
      <c r="L786" s="1"/>
    </row>
    <row r="787" spans="6:12">
      <c r="F787" s="1"/>
      <c r="G787"/>
      <c r="H787"/>
      <c r="I787" s="1"/>
      <c r="J787"/>
      <c r="K787"/>
      <c r="L787" s="1"/>
    </row>
    <row r="788" spans="6:12">
      <c r="F788" s="1"/>
      <c r="G788"/>
      <c r="H788"/>
      <c r="I788" s="1"/>
      <c r="J788"/>
      <c r="K788"/>
      <c r="L788" s="1"/>
    </row>
    <row r="789" spans="6:12">
      <c r="F789" s="1"/>
      <c r="G789"/>
      <c r="H789"/>
      <c r="I789" s="1"/>
      <c r="J789"/>
      <c r="K789"/>
      <c r="L789" s="1"/>
    </row>
    <row r="790" spans="6:12">
      <c r="F790" s="1"/>
      <c r="G790"/>
      <c r="H790"/>
      <c r="I790" s="1"/>
      <c r="J790"/>
      <c r="K790"/>
      <c r="L790" s="1"/>
    </row>
    <row r="791" spans="6:12">
      <c r="F791" s="1"/>
      <c r="G791"/>
      <c r="H791"/>
      <c r="I791" s="1"/>
      <c r="J791"/>
      <c r="K791"/>
      <c r="L791" s="1"/>
    </row>
    <row r="792" spans="6:12">
      <c r="F792" s="1"/>
      <c r="G792"/>
      <c r="H792"/>
      <c r="I792" s="1"/>
      <c r="J792"/>
      <c r="K792"/>
      <c r="L792" s="1"/>
    </row>
    <row r="793" spans="6:12">
      <c r="F793" s="1"/>
      <c r="G793"/>
      <c r="H793"/>
      <c r="I793" s="1"/>
      <c r="J793"/>
      <c r="K793"/>
      <c r="L793" s="1"/>
    </row>
    <row r="794" spans="6:12">
      <c r="F794" s="1"/>
      <c r="G794"/>
      <c r="H794"/>
      <c r="I794" s="1"/>
      <c r="J794"/>
      <c r="K794"/>
      <c r="L794" s="1"/>
    </row>
    <row r="795" spans="6:12">
      <c r="F795" s="1"/>
      <c r="G795"/>
      <c r="H795"/>
      <c r="I795" s="1"/>
      <c r="J795"/>
      <c r="K795"/>
      <c r="L795" s="1"/>
    </row>
    <row r="796" spans="6:12">
      <c r="F796" s="1"/>
      <c r="G796"/>
      <c r="H796"/>
      <c r="I796" s="1"/>
      <c r="J796"/>
      <c r="K796"/>
      <c r="L796" s="1"/>
    </row>
    <row r="797" spans="6:12">
      <c r="F797" s="1"/>
      <c r="G797"/>
      <c r="H797"/>
      <c r="I797" s="1"/>
      <c r="J797"/>
      <c r="K797"/>
      <c r="L797" s="1"/>
    </row>
    <row r="798" spans="6:12">
      <c r="F798" s="1"/>
      <c r="G798"/>
      <c r="H798"/>
      <c r="I798" s="1"/>
      <c r="J798"/>
      <c r="K798"/>
      <c r="L798" s="1"/>
    </row>
    <row r="799" spans="6:12">
      <c r="F799" s="1"/>
      <c r="G799"/>
      <c r="H799"/>
      <c r="I799" s="1"/>
      <c r="J799"/>
      <c r="K799"/>
      <c r="L799" s="1"/>
    </row>
    <row r="800" spans="6:12">
      <c r="F800" s="1"/>
      <c r="G800"/>
      <c r="H800"/>
      <c r="I800" s="1"/>
      <c r="J800"/>
      <c r="K800"/>
      <c r="L800" s="1"/>
    </row>
    <row r="801" spans="6:12">
      <c r="F801" s="1"/>
      <c r="G801"/>
      <c r="H801"/>
      <c r="I801" s="1"/>
      <c r="J801"/>
      <c r="K801"/>
      <c r="L801" s="1"/>
    </row>
    <row r="802" spans="6:12">
      <c r="F802" s="1"/>
      <c r="G802"/>
      <c r="H802"/>
      <c r="I802" s="1"/>
      <c r="J802"/>
      <c r="K802"/>
      <c r="L802" s="1"/>
    </row>
    <row r="803" spans="6:12">
      <c r="F803" s="1"/>
      <c r="G803"/>
      <c r="H803"/>
      <c r="I803" s="1"/>
      <c r="J803"/>
      <c r="K803"/>
      <c r="L803" s="1"/>
    </row>
    <row r="804" spans="6:12">
      <c r="F804" s="1"/>
      <c r="G804"/>
      <c r="H804"/>
      <c r="I804" s="1"/>
      <c r="J804"/>
      <c r="K804"/>
      <c r="L804" s="1"/>
    </row>
    <row r="805" spans="6:12">
      <c r="F805" s="1"/>
      <c r="G805"/>
      <c r="H805"/>
      <c r="I805" s="1"/>
      <c r="J805"/>
      <c r="K805"/>
      <c r="L805" s="1"/>
    </row>
    <row r="806" spans="6:12">
      <c r="F806" s="1"/>
      <c r="G806"/>
      <c r="H806"/>
      <c r="I806" s="1"/>
      <c r="J806"/>
      <c r="K806"/>
      <c r="L806" s="1"/>
    </row>
    <row r="807" spans="6:12">
      <c r="F807" s="1"/>
      <c r="G807"/>
      <c r="H807"/>
      <c r="I807" s="1"/>
      <c r="J807"/>
      <c r="K807"/>
      <c r="L807" s="1"/>
    </row>
    <row r="808" spans="6:12">
      <c r="F808" s="1"/>
      <c r="G808"/>
      <c r="H808"/>
      <c r="I808" s="1"/>
      <c r="J808"/>
      <c r="K808"/>
      <c r="L808" s="1"/>
    </row>
    <row r="809" spans="6:12">
      <c r="F809" s="1"/>
      <c r="G809"/>
      <c r="H809"/>
      <c r="I809" s="1"/>
      <c r="J809"/>
      <c r="K809"/>
      <c r="L809" s="1"/>
    </row>
    <row r="810" spans="6:12">
      <c r="F810" s="1"/>
      <c r="G810"/>
      <c r="H810"/>
      <c r="I810" s="1"/>
      <c r="J810"/>
      <c r="K810"/>
      <c r="L810" s="1"/>
    </row>
    <row r="811" spans="6:12">
      <c r="F811" s="1"/>
      <c r="G811"/>
      <c r="H811"/>
      <c r="I811" s="1"/>
      <c r="J811"/>
      <c r="K811"/>
      <c r="L811" s="1"/>
    </row>
    <row r="812" spans="6:12">
      <c r="F812" s="1"/>
      <c r="G812"/>
      <c r="H812"/>
      <c r="I812" s="1"/>
      <c r="J812"/>
      <c r="K812"/>
      <c r="L812" s="1"/>
    </row>
    <row r="813" spans="6:12">
      <c r="F813" s="1"/>
      <c r="G813"/>
      <c r="H813"/>
      <c r="I813" s="1"/>
      <c r="J813"/>
      <c r="K813"/>
      <c r="L813" s="1"/>
    </row>
    <row r="814" spans="6:12">
      <c r="F814" s="1"/>
      <c r="G814"/>
      <c r="H814"/>
      <c r="I814" s="1"/>
      <c r="J814"/>
      <c r="K814"/>
      <c r="L814" s="1"/>
    </row>
    <row r="815" spans="6:12">
      <c r="F815" s="1"/>
      <c r="G815"/>
      <c r="H815"/>
      <c r="I815" s="1"/>
      <c r="J815"/>
      <c r="K815"/>
      <c r="L815" s="1"/>
    </row>
    <row r="816" spans="6:12">
      <c r="F816" s="1"/>
      <c r="G816"/>
      <c r="H816"/>
      <c r="I816" s="1"/>
      <c r="J816"/>
      <c r="K816"/>
      <c r="L816" s="1"/>
    </row>
    <row r="817" spans="6:12">
      <c r="F817" s="1"/>
      <c r="G817"/>
      <c r="H817"/>
      <c r="I817" s="1"/>
      <c r="J817"/>
      <c r="K817"/>
      <c r="L817" s="1"/>
    </row>
    <row r="818" spans="6:12">
      <c r="F818" s="1"/>
      <c r="G818"/>
      <c r="H818"/>
      <c r="I818" s="1"/>
      <c r="J818"/>
      <c r="K818"/>
      <c r="L818" s="1"/>
    </row>
    <row r="819" spans="6:12">
      <c r="F819" s="1"/>
      <c r="G819"/>
      <c r="H819"/>
      <c r="I819" s="1"/>
      <c r="J819"/>
      <c r="K819"/>
      <c r="L819" s="1"/>
    </row>
    <row r="820" spans="6:12">
      <c r="F820" s="1"/>
      <c r="G820"/>
      <c r="H820"/>
      <c r="I820" s="1"/>
      <c r="J820"/>
      <c r="K820"/>
      <c r="L820" s="1"/>
    </row>
    <row r="821" spans="6:12">
      <c r="F821" s="1"/>
      <c r="G821"/>
      <c r="H821"/>
      <c r="I821" s="1"/>
      <c r="J821"/>
      <c r="K821"/>
      <c r="L821" s="1"/>
    </row>
    <row r="822" spans="6:12">
      <c r="F822" s="1"/>
      <c r="G822"/>
      <c r="H822"/>
      <c r="I822" s="1"/>
      <c r="J822"/>
      <c r="K822"/>
      <c r="L822" s="1"/>
    </row>
    <row r="823" spans="6:12">
      <c r="F823" s="1"/>
      <c r="G823"/>
      <c r="H823"/>
      <c r="I823" s="1"/>
      <c r="J823"/>
      <c r="K823"/>
      <c r="L823" s="1"/>
    </row>
    <row r="824" spans="6:12">
      <c r="F824" s="1"/>
      <c r="G824"/>
      <c r="H824"/>
      <c r="I824" s="1"/>
      <c r="J824"/>
      <c r="K824"/>
      <c r="L824" s="1"/>
    </row>
    <row r="825" spans="6:12">
      <c r="F825" s="1"/>
      <c r="G825"/>
      <c r="H825"/>
      <c r="I825" s="1"/>
      <c r="J825"/>
      <c r="K825"/>
      <c r="L825" s="1"/>
    </row>
    <row r="826" spans="6:12">
      <c r="F826" s="1"/>
      <c r="G826"/>
      <c r="H826"/>
      <c r="I826" s="1"/>
      <c r="J826"/>
      <c r="K826"/>
      <c r="L826" s="1"/>
    </row>
    <row r="827" spans="6:12">
      <c r="F827" s="1"/>
      <c r="G827"/>
      <c r="H827"/>
      <c r="I827" s="1"/>
      <c r="J827"/>
      <c r="K827"/>
      <c r="L827" s="1"/>
    </row>
    <row r="828" spans="6:12">
      <c r="F828" s="1"/>
      <c r="G828"/>
      <c r="H828"/>
      <c r="I828" s="1"/>
      <c r="J828"/>
      <c r="K828"/>
      <c r="L828" s="1"/>
    </row>
    <row r="829" spans="6:12">
      <c r="F829" s="1"/>
      <c r="G829"/>
      <c r="H829"/>
      <c r="I829" s="1"/>
      <c r="J829"/>
      <c r="K829"/>
      <c r="L829" s="1"/>
    </row>
    <row r="830" spans="6:12">
      <c r="F830" s="1"/>
      <c r="G830"/>
      <c r="H830"/>
      <c r="I830" s="1"/>
      <c r="J830"/>
      <c r="K830"/>
      <c r="L830" s="1"/>
    </row>
    <row r="831" spans="6:12">
      <c r="F831" s="1"/>
      <c r="G831"/>
      <c r="H831"/>
      <c r="I831" s="1"/>
      <c r="J831"/>
      <c r="K831"/>
      <c r="L831" s="1"/>
    </row>
    <row r="832" spans="6:12">
      <c r="F832" s="1"/>
      <c r="G832"/>
      <c r="H832"/>
      <c r="I832" s="1"/>
      <c r="J832"/>
      <c r="K832"/>
      <c r="L832" s="1"/>
    </row>
    <row r="833" spans="6:12">
      <c r="F833" s="1"/>
      <c r="G833"/>
      <c r="H833"/>
      <c r="I833" s="1"/>
      <c r="J833"/>
      <c r="K833"/>
      <c r="L833" s="1"/>
    </row>
    <row r="834" spans="6:12">
      <c r="F834" s="1"/>
      <c r="G834"/>
      <c r="H834"/>
      <c r="I834" s="1"/>
      <c r="J834"/>
      <c r="K834"/>
      <c r="L834" s="1"/>
    </row>
    <row r="835" spans="6:12">
      <c r="F835" s="1"/>
      <c r="G835"/>
      <c r="H835"/>
      <c r="I835" s="1"/>
      <c r="J835"/>
      <c r="K835"/>
      <c r="L835" s="1"/>
    </row>
    <row r="836" spans="6:12">
      <c r="F836" s="1"/>
      <c r="G836"/>
      <c r="H836"/>
      <c r="I836" s="1"/>
      <c r="J836"/>
      <c r="K836"/>
      <c r="L836" s="1"/>
    </row>
    <row r="837" spans="6:12">
      <c r="F837" s="1"/>
      <c r="G837"/>
      <c r="H837"/>
      <c r="I837" s="1"/>
      <c r="J837"/>
      <c r="K837"/>
      <c r="L837" s="1"/>
    </row>
    <row r="838" spans="6:12">
      <c r="F838" s="1"/>
      <c r="G838"/>
      <c r="H838"/>
      <c r="I838" s="1"/>
      <c r="J838"/>
      <c r="K838"/>
      <c r="L838" s="1"/>
    </row>
    <row r="839" spans="6:12">
      <c r="F839" s="1"/>
      <c r="G839"/>
      <c r="H839"/>
      <c r="I839" s="1"/>
      <c r="J839"/>
      <c r="K839"/>
      <c r="L839" s="1"/>
    </row>
    <row r="840" spans="6:12">
      <c r="F840" s="1"/>
      <c r="G840"/>
      <c r="H840"/>
      <c r="I840" s="1"/>
      <c r="J840"/>
      <c r="K840"/>
      <c r="L840" s="1"/>
    </row>
    <row r="841" spans="6:12">
      <c r="F841" s="1"/>
      <c r="G841"/>
      <c r="H841"/>
      <c r="I841" s="1"/>
      <c r="J841"/>
      <c r="K841"/>
      <c r="L841" s="1"/>
    </row>
    <row r="842" spans="6:12">
      <c r="F842" s="1"/>
      <c r="G842"/>
      <c r="H842"/>
      <c r="I842" s="1"/>
      <c r="J842"/>
      <c r="K842"/>
      <c r="L842" s="1"/>
    </row>
    <row r="843" spans="6:12">
      <c r="F843" s="1"/>
      <c r="G843"/>
      <c r="H843"/>
      <c r="I843" s="1"/>
      <c r="J843"/>
      <c r="K843"/>
      <c r="L843" s="1"/>
    </row>
    <row r="844" spans="6:12">
      <c r="F844" s="1"/>
      <c r="G844"/>
      <c r="H844"/>
      <c r="I844" s="1"/>
      <c r="J844"/>
      <c r="K844"/>
      <c r="L844" s="1"/>
    </row>
    <row r="845" spans="6:12">
      <c r="F845" s="1"/>
      <c r="G845"/>
      <c r="H845"/>
      <c r="I845" s="1"/>
      <c r="J845"/>
      <c r="K845"/>
      <c r="L845" s="1"/>
    </row>
    <row r="846" spans="6:12">
      <c r="F846" s="1"/>
      <c r="G846"/>
      <c r="H846"/>
      <c r="I846" s="1"/>
      <c r="J846"/>
      <c r="K846"/>
      <c r="L846" s="1"/>
    </row>
    <row r="847" spans="6:12">
      <c r="F847" s="1"/>
      <c r="G847"/>
      <c r="H847"/>
      <c r="I847" s="1"/>
      <c r="J847"/>
      <c r="K847"/>
      <c r="L847" s="1"/>
    </row>
    <row r="848" spans="6:12">
      <c r="F848" s="1"/>
      <c r="G848"/>
      <c r="H848"/>
      <c r="I848" s="1"/>
      <c r="J848"/>
      <c r="K848"/>
      <c r="L848" s="1"/>
    </row>
    <row r="849" spans="6:12">
      <c r="F849" s="1"/>
      <c r="G849"/>
      <c r="H849"/>
      <c r="I849" s="1"/>
      <c r="J849"/>
      <c r="K849"/>
      <c r="L849" s="1"/>
    </row>
    <row r="850" spans="6:12">
      <c r="F850" s="1"/>
      <c r="G850"/>
      <c r="H850"/>
      <c r="I850" s="1"/>
      <c r="J850"/>
      <c r="K850"/>
      <c r="L850" s="1"/>
    </row>
    <row r="851" spans="6:12">
      <c r="F851" s="1"/>
      <c r="G851"/>
      <c r="H851"/>
      <c r="I851" s="1"/>
      <c r="J851"/>
      <c r="K851"/>
      <c r="L851" s="1"/>
    </row>
    <row r="852" spans="6:12">
      <c r="F852" s="1"/>
      <c r="G852"/>
      <c r="H852"/>
      <c r="I852" s="1"/>
      <c r="J852"/>
      <c r="K852"/>
      <c r="L852" s="1"/>
    </row>
    <row r="853" spans="6:12">
      <c r="F853" s="1"/>
      <c r="G853"/>
      <c r="H853"/>
      <c r="I853" s="1"/>
      <c r="J853"/>
      <c r="K853"/>
      <c r="L853" s="1"/>
    </row>
    <row r="854" spans="6:12">
      <c r="F854" s="1"/>
      <c r="G854"/>
      <c r="H854"/>
      <c r="I854" s="1"/>
      <c r="J854"/>
      <c r="K854"/>
      <c r="L854" s="1"/>
    </row>
    <row r="855" spans="6:12">
      <c r="F855" s="1"/>
      <c r="G855"/>
      <c r="H855"/>
      <c r="I855" s="1"/>
      <c r="J855"/>
      <c r="K855"/>
      <c r="L855" s="1"/>
    </row>
    <row r="856" spans="6:12">
      <c r="F856" s="1"/>
      <c r="G856"/>
      <c r="H856"/>
      <c r="I856" s="1"/>
      <c r="J856"/>
      <c r="K856"/>
      <c r="L856" s="1"/>
    </row>
    <row r="857" spans="6:12">
      <c r="F857" s="1"/>
      <c r="G857"/>
      <c r="H857"/>
      <c r="I857" s="1"/>
      <c r="J857"/>
      <c r="K857"/>
      <c r="L857" s="1"/>
    </row>
    <row r="858" spans="6:12">
      <c r="F858" s="1"/>
      <c r="G858"/>
      <c r="H858"/>
      <c r="I858" s="1"/>
      <c r="J858"/>
      <c r="K858"/>
      <c r="L858" s="1"/>
    </row>
    <row r="859" spans="6:12">
      <c r="F859" s="1"/>
      <c r="G859"/>
      <c r="H859"/>
      <c r="I859" s="1"/>
      <c r="J859"/>
      <c r="K859"/>
      <c r="L859" s="1"/>
    </row>
    <row r="860" spans="6:12">
      <c r="F860" s="1"/>
      <c r="G860"/>
      <c r="H860"/>
      <c r="I860" s="1"/>
      <c r="J860"/>
      <c r="K860"/>
      <c r="L860" s="1"/>
    </row>
    <row r="861" spans="6:12">
      <c r="F861" s="1"/>
      <c r="G861"/>
      <c r="H861"/>
      <c r="I861" s="1"/>
      <c r="J861"/>
      <c r="K861"/>
      <c r="L861" s="1"/>
    </row>
    <row r="862" spans="6:12">
      <c r="F862" s="1"/>
      <c r="G862"/>
      <c r="H862"/>
      <c r="I862" s="1"/>
      <c r="J862"/>
      <c r="K862"/>
      <c r="L862" s="1"/>
    </row>
    <row r="863" spans="6:12">
      <c r="F863" s="1"/>
      <c r="G863"/>
      <c r="H863"/>
      <c r="I863" s="1"/>
      <c r="J863"/>
      <c r="K863"/>
      <c r="L863" s="1"/>
    </row>
    <row r="864" spans="6:12">
      <c r="F864" s="1"/>
      <c r="G864"/>
      <c r="H864"/>
      <c r="I864" s="1"/>
      <c r="J864"/>
      <c r="K864"/>
      <c r="L864" s="1"/>
    </row>
    <row r="865" spans="6:12">
      <c r="F865" s="1"/>
      <c r="G865"/>
      <c r="H865"/>
      <c r="I865" s="1"/>
      <c r="J865"/>
      <c r="K865"/>
      <c r="L865" s="1"/>
    </row>
    <row r="866" spans="6:12">
      <c r="F866" s="1"/>
      <c r="G866"/>
      <c r="H866"/>
      <c r="I866" s="1"/>
      <c r="J866"/>
      <c r="K866"/>
      <c r="L866" s="1"/>
    </row>
    <row r="867" spans="6:12">
      <c r="F867" s="1"/>
      <c r="G867"/>
      <c r="H867"/>
      <c r="I867" s="1"/>
      <c r="J867"/>
      <c r="K867"/>
      <c r="L867" s="1"/>
    </row>
    <row r="868" spans="6:12">
      <c r="F868" s="1"/>
      <c r="G868"/>
      <c r="H868"/>
      <c r="I868" s="1"/>
      <c r="J868"/>
      <c r="K868"/>
      <c r="L868" s="1"/>
    </row>
    <row r="869" spans="6:12">
      <c r="F869" s="1"/>
      <c r="G869"/>
      <c r="H869"/>
      <c r="I869" s="1"/>
      <c r="J869"/>
      <c r="K869"/>
      <c r="L869" s="1"/>
    </row>
    <row r="870" spans="6:12">
      <c r="F870" s="1"/>
      <c r="G870"/>
      <c r="H870"/>
      <c r="I870" s="1"/>
      <c r="J870"/>
      <c r="K870"/>
      <c r="L870" s="1"/>
    </row>
    <row r="871" spans="6:12">
      <c r="F871" s="1"/>
      <c r="G871"/>
      <c r="H871"/>
      <c r="I871" s="1"/>
      <c r="J871"/>
      <c r="K871"/>
      <c r="L871" s="1"/>
    </row>
    <row r="872" spans="6:12">
      <c r="F872" s="1"/>
      <c r="G872"/>
      <c r="H872"/>
      <c r="I872" s="1"/>
      <c r="J872"/>
      <c r="K872"/>
      <c r="L872" s="1"/>
    </row>
    <row r="873" spans="6:12">
      <c r="F873" s="1"/>
      <c r="G873"/>
      <c r="H873"/>
      <c r="I873" s="1"/>
      <c r="J873"/>
      <c r="K873"/>
      <c r="L873" s="1"/>
    </row>
    <row r="874" spans="6:12">
      <c r="F874" s="1"/>
      <c r="G874"/>
      <c r="H874"/>
      <c r="I874" s="1"/>
      <c r="J874"/>
      <c r="K874"/>
      <c r="L874" s="1"/>
    </row>
    <row r="875" spans="6:12">
      <c r="F875" s="1"/>
      <c r="G875"/>
      <c r="H875"/>
      <c r="I875" s="1"/>
      <c r="J875"/>
      <c r="K875"/>
      <c r="L875" s="1"/>
    </row>
    <row r="876" spans="6:12">
      <c r="F876" s="1"/>
      <c r="G876"/>
      <c r="H876"/>
      <c r="I876" s="1"/>
      <c r="J876"/>
      <c r="K876"/>
      <c r="L876" s="1"/>
    </row>
    <row r="877" spans="6:12">
      <c r="F877" s="1"/>
      <c r="G877"/>
      <c r="H877"/>
      <c r="I877" s="1"/>
      <c r="J877"/>
      <c r="K877"/>
      <c r="L877" s="1"/>
    </row>
    <row r="878" spans="6:12">
      <c r="F878" s="1"/>
      <c r="G878"/>
      <c r="H878"/>
      <c r="I878" s="1"/>
      <c r="J878"/>
      <c r="K878"/>
      <c r="L878" s="1"/>
    </row>
    <row r="879" spans="6:12">
      <c r="F879" s="1"/>
      <c r="G879"/>
      <c r="H879"/>
      <c r="I879" s="1"/>
      <c r="J879"/>
      <c r="K879"/>
      <c r="L879" s="1"/>
    </row>
    <row r="880" spans="6:12">
      <c r="F880" s="1"/>
      <c r="G880"/>
      <c r="H880"/>
      <c r="I880" s="1"/>
      <c r="J880"/>
      <c r="K880"/>
      <c r="L880" s="1"/>
    </row>
    <row r="881" spans="6:12">
      <c r="F881" s="1"/>
      <c r="G881"/>
      <c r="H881"/>
      <c r="I881" s="1"/>
      <c r="J881"/>
      <c r="K881"/>
      <c r="L881" s="1"/>
    </row>
    <row r="882" spans="6:12">
      <c r="F882" s="1"/>
      <c r="G882"/>
      <c r="H882"/>
      <c r="I882" s="1"/>
      <c r="J882"/>
      <c r="K882"/>
      <c r="L882" s="1"/>
    </row>
    <row r="883" spans="6:12">
      <c r="F883" s="1"/>
      <c r="G883"/>
      <c r="H883"/>
      <c r="I883" s="1"/>
      <c r="J883"/>
      <c r="K883"/>
      <c r="L883" s="1"/>
    </row>
    <row r="884" spans="6:12">
      <c r="F884" s="1"/>
      <c r="G884"/>
      <c r="H884"/>
      <c r="I884" s="1"/>
      <c r="J884"/>
      <c r="K884"/>
      <c r="L884" s="1"/>
    </row>
    <row r="885" spans="6:12">
      <c r="F885" s="1"/>
      <c r="G885"/>
      <c r="H885"/>
      <c r="I885" s="1"/>
      <c r="J885"/>
      <c r="K885"/>
      <c r="L885" s="1"/>
    </row>
    <row r="886" spans="6:12">
      <c r="F886" s="1"/>
      <c r="G886"/>
      <c r="H886"/>
      <c r="I886" s="1"/>
      <c r="J886"/>
      <c r="K886"/>
      <c r="L886" s="1"/>
    </row>
    <row r="887" spans="6:12">
      <c r="F887" s="1"/>
      <c r="G887"/>
      <c r="H887"/>
      <c r="I887" s="1"/>
      <c r="J887"/>
      <c r="K887"/>
      <c r="L887" s="1"/>
    </row>
    <row r="888" spans="6:12">
      <c r="F888" s="1"/>
      <c r="G888"/>
      <c r="H888"/>
      <c r="I888" s="1"/>
      <c r="J888"/>
      <c r="K888"/>
      <c r="L888" s="1"/>
    </row>
    <row r="889" spans="6:12">
      <c r="F889" s="1"/>
      <c r="G889"/>
      <c r="H889"/>
      <c r="I889" s="1"/>
      <c r="J889"/>
      <c r="K889"/>
      <c r="L889" s="1"/>
    </row>
    <row r="890" spans="6:12">
      <c r="F890" s="1"/>
      <c r="G890"/>
      <c r="H890"/>
      <c r="I890" s="1"/>
      <c r="J890"/>
      <c r="K890"/>
      <c r="L890" s="1"/>
    </row>
    <row r="891" spans="6:12">
      <c r="F891" s="1"/>
      <c r="G891"/>
      <c r="H891"/>
      <c r="I891" s="1"/>
      <c r="J891"/>
      <c r="K891"/>
      <c r="L891" s="1"/>
    </row>
    <row r="892" spans="6:12">
      <c r="F892" s="1"/>
      <c r="G892"/>
      <c r="H892"/>
      <c r="I892" s="1"/>
      <c r="J892"/>
      <c r="K892"/>
      <c r="L892" s="1"/>
    </row>
    <row r="893" spans="6:12">
      <c r="F893" s="1"/>
      <c r="G893"/>
      <c r="H893"/>
      <c r="I893" s="1"/>
      <c r="J893"/>
      <c r="K893"/>
      <c r="L893" s="1"/>
    </row>
    <row r="894" spans="6:12">
      <c r="F894" s="1"/>
      <c r="G894"/>
      <c r="H894"/>
      <c r="I894" s="1"/>
      <c r="J894"/>
      <c r="K894"/>
      <c r="L894" s="1"/>
    </row>
    <row r="895" spans="6:12">
      <c r="F895" s="1"/>
      <c r="G895"/>
      <c r="H895"/>
      <c r="I895" s="1"/>
      <c r="J895"/>
      <c r="K895"/>
      <c r="L895" s="1"/>
    </row>
    <row r="896" spans="6:12">
      <c r="F896" s="1"/>
      <c r="G896"/>
      <c r="H896"/>
      <c r="I896" s="1"/>
      <c r="J896"/>
      <c r="K896"/>
      <c r="L896" s="1"/>
    </row>
    <row r="897" spans="6:12">
      <c r="F897" s="1"/>
      <c r="G897"/>
      <c r="H897"/>
      <c r="I897" s="1"/>
      <c r="J897"/>
      <c r="K897"/>
      <c r="L897" s="1"/>
    </row>
    <row r="898" spans="6:12">
      <c r="F898" s="1"/>
      <c r="G898"/>
      <c r="H898"/>
      <c r="I898" s="1"/>
      <c r="J898"/>
      <c r="K898"/>
      <c r="L898" s="1"/>
    </row>
    <row r="899" spans="6:12">
      <c r="F899" s="1"/>
      <c r="G899"/>
      <c r="H899"/>
      <c r="I899" s="1"/>
      <c r="J899"/>
      <c r="K899"/>
      <c r="L899" s="1"/>
    </row>
    <row r="900" spans="6:12">
      <c r="F900" s="1"/>
      <c r="G900"/>
      <c r="H900"/>
      <c r="I900" s="1"/>
      <c r="J900"/>
      <c r="K900"/>
      <c r="L900" s="1"/>
    </row>
    <row r="901" spans="6:12">
      <c r="F901" s="1"/>
      <c r="G901"/>
      <c r="H901"/>
      <c r="I901" s="1"/>
      <c r="J901"/>
      <c r="K901"/>
      <c r="L901" s="1"/>
    </row>
    <row r="902" spans="6:12">
      <c r="F902" s="1"/>
      <c r="G902"/>
      <c r="H902"/>
      <c r="I902" s="1"/>
      <c r="J902"/>
      <c r="K902"/>
      <c r="L902" s="1"/>
    </row>
    <row r="903" spans="6:12">
      <c r="F903" s="1"/>
      <c r="G903"/>
      <c r="H903"/>
      <c r="I903" s="1"/>
      <c r="J903"/>
      <c r="K903"/>
      <c r="L903" s="1"/>
    </row>
    <row r="904" spans="6:12">
      <c r="F904" s="1"/>
      <c r="G904"/>
      <c r="H904"/>
      <c r="I904" s="1"/>
      <c r="J904"/>
      <c r="K904"/>
      <c r="L904" s="1"/>
    </row>
    <row r="905" spans="6:12">
      <c r="F905" s="1"/>
      <c r="G905"/>
      <c r="H905"/>
      <c r="I905" s="1"/>
      <c r="J905"/>
      <c r="K905"/>
      <c r="L905" s="1"/>
    </row>
    <row r="906" spans="6:12">
      <c r="F906" s="1"/>
      <c r="G906"/>
      <c r="H906"/>
      <c r="I906" s="1"/>
      <c r="J906"/>
      <c r="K906"/>
      <c r="L906" s="1"/>
    </row>
    <row r="907" spans="6:12">
      <c r="F907" s="1"/>
      <c r="G907"/>
      <c r="H907"/>
      <c r="I907" s="1"/>
      <c r="J907"/>
      <c r="K907"/>
      <c r="L907" s="1"/>
    </row>
    <row r="908" spans="6:12">
      <c r="F908" s="1"/>
      <c r="G908"/>
      <c r="H908"/>
      <c r="I908" s="1"/>
      <c r="J908"/>
      <c r="K908"/>
      <c r="L908" s="1"/>
    </row>
    <row r="909" spans="6:12">
      <c r="F909" s="1"/>
      <c r="G909"/>
      <c r="H909"/>
      <c r="I909" s="1"/>
      <c r="J909"/>
      <c r="K909"/>
      <c r="L909" s="1"/>
    </row>
    <row r="910" spans="6:12">
      <c r="F910" s="1"/>
      <c r="G910"/>
      <c r="H910"/>
      <c r="I910" s="1"/>
      <c r="J910"/>
      <c r="K910"/>
      <c r="L910" s="1"/>
    </row>
    <row r="911" spans="6:12">
      <c r="F911" s="1"/>
      <c r="G911"/>
      <c r="H911"/>
      <c r="I911" s="1"/>
      <c r="J911"/>
      <c r="K911"/>
      <c r="L911" s="1"/>
    </row>
    <row r="912" spans="6:12">
      <c r="F912" s="1"/>
      <c r="G912"/>
      <c r="H912"/>
      <c r="I912" s="1"/>
      <c r="J912"/>
      <c r="K912"/>
      <c r="L912" s="1"/>
    </row>
    <row r="913" spans="6:12">
      <c r="F913" s="1"/>
      <c r="G913"/>
      <c r="H913"/>
      <c r="I913" s="1"/>
      <c r="J913"/>
      <c r="K913"/>
      <c r="L913" s="1"/>
    </row>
    <row r="914" spans="6:12">
      <c r="F914" s="1"/>
      <c r="G914"/>
      <c r="H914"/>
      <c r="I914" s="1"/>
      <c r="J914"/>
      <c r="K914"/>
      <c r="L914" s="1"/>
    </row>
    <row r="915" spans="6:12">
      <c r="F915" s="1"/>
      <c r="G915"/>
      <c r="H915"/>
      <c r="I915" s="1"/>
      <c r="J915"/>
      <c r="K915"/>
      <c r="L915" s="1"/>
    </row>
    <row r="916" spans="6:12">
      <c r="F916" s="1"/>
      <c r="G916"/>
      <c r="H916"/>
      <c r="I916" s="1"/>
      <c r="J916"/>
      <c r="K916"/>
      <c r="L916" s="1"/>
    </row>
    <row r="917" spans="6:12">
      <c r="F917" s="1"/>
      <c r="G917"/>
      <c r="H917"/>
      <c r="I917" s="1"/>
      <c r="J917"/>
      <c r="K917"/>
      <c r="L917" s="1"/>
    </row>
    <row r="918" spans="6:12">
      <c r="F918" s="1"/>
      <c r="G918"/>
      <c r="H918"/>
      <c r="I918" s="1"/>
      <c r="J918"/>
      <c r="K918"/>
      <c r="L918" s="1"/>
    </row>
    <row r="919" spans="6:12">
      <c r="F919" s="1"/>
      <c r="G919"/>
      <c r="H919"/>
      <c r="I919" s="1"/>
      <c r="J919"/>
      <c r="K919"/>
      <c r="L919" s="1"/>
    </row>
    <row r="920" spans="6:12">
      <c r="F920" s="1"/>
      <c r="G920"/>
      <c r="H920"/>
      <c r="I920" s="1"/>
      <c r="J920"/>
      <c r="K920"/>
      <c r="L920" s="1"/>
    </row>
    <row r="921" spans="6:12">
      <c r="F921" s="1"/>
      <c r="G921"/>
      <c r="H921"/>
      <c r="I921" s="1"/>
      <c r="J921"/>
      <c r="K921"/>
      <c r="L921" s="1"/>
    </row>
    <row r="922" spans="6:12">
      <c r="F922" s="1"/>
      <c r="G922"/>
      <c r="H922"/>
      <c r="I922" s="1"/>
      <c r="J922"/>
      <c r="K922"/>
      <c r="L922" s="1"/>
    </row>
    <row r="923" spans="6:12">
      <c r="F923" s="1"/>
      <c r="G923"/>
      <c r="H923"/>
      <c r="I923" s="1"/>
      <c r="J923"/>
      <c r="K923"/>
      <c r="L923" s="1"/>
    </row>
    <row r="924" spans="6:12">
      <c r="F924" s="1"/>
      <c r="G924"/>
      <c r="H924"/>
      <c r="I924" s="1"/>
      <c r="J924"/>
      <c r="K924"/>
      <c r="L924" s="1"/>
    </row>
    <row r="925" spans="6:12">
      <c r="F925" s="1"/>
      <c r="G925"/>
      <c r="H925"/>
      <c r="I925" s="1"/>
      <c r="J925"/>
      <c r="K925"/>
      <c r="L925" s="1"/>
    </row>
    <row r="926" spans="6:12">
      <c r="F926" s="1"/>
      <c r="G926"/>
      <c r="H926"/>
      <c r="I926" s="1"/>
      <c r="J926"/>
      <c r="K926"/>
      <c r="L926" s="1"/>
    </row>
    <row r="927" spans="6:12">
      <c r="F927" s="1"/>
      <c r="G927"/>
      <c r="H927"/>
      <c r="I927" s="1"/>
      <c r="J927"/>
      <c r="K927"/>
      <c r="L927" s="1"/>
    </row>
    <row r="928" spans="6:12">
      <c r="F928" s="1"/>
      <c r="G928"/>
      <c r="H928"/>
      <c r="I928" s="1"/>
      <c r="J928"/>
      <c r="K928"/>
      <c r="L928" s="1"/>
    </row>
    <row r="929" spans="6:12">
      <c r="F929" s="1"/>
      <c r="G929"/>
      <c r="H929"/>
      <c r="I929" s="1"/>
      <c r="J929"/>
      <c r="K929"/>
      <c r="L929" s="1"/>
    </row>
    <row r="930" spans="6:12">
      <c r="F930" s="1"/>
      <c r="G930"/>
      <c r="H930"/>
      <c r="I930" s="1"/>
      <c r="J930"/>
      <c r="K930"/>
      <c r="L930" s="1"/>
    </row>
    <row r="931" spans="6:12">
      <c r="F931" s="1"/>
      <c r="G931"/>
      <c r="H931"/>
      <c r="I931" s="1"/>
      <c r="J931"/>
      <c r="K931"/>
      <c r="L931" s="1"/>
    </row>
    <row r="932" spans="6:12">
      <c r="F932" s="1"/>
      <c r="G932"/>
      <c r="H932"/>
      <c r="I932" s="1"/>
      <c r="J932"/>
      <c r="K932"/>
      <c r="L932" s="1"/>
    </row>
    <row r="933" spans="6:12">
      <c r="F933" s="1"/>
      <c r="G933"/>
      <c r="H933"/>
      <c r="I933" s="1"/>
      <c r="J933"/>
      <c r="K933"/>
      <c r="L933" s="1"/>
    </row>
    <row r="934" spans="6:12">
      <c r="F934" s="1"/>
      <c r="G934"/>
      <c r="H934"/>
      <c r="I934" s="1"/>
      <c r="J934"/>
      <c r="K934"/>
      <c r="L934" s="1"/>
    </row>
    <row r="935" spans="6:12">
      <c r="F935" s="1"/>
      <c r="G935"/>
      <c r="H935"/>
      <c r="I935" s="1"/>
      <c r="J935"/>
      <c r="K935"/>
      <c r="L935" s="1"/>
    </row>
    <row r="936" spans="6:12">
      <c r="F936" s="1"/>
      <c r="G936"/>
      <c r="H936"/>
      <c r="I936" s="1"/>
      <c r="J936"/>
      <c r="K936"/>
      <c r="L936" s="1"/>
    </row>
    <row r="937" spans="6:12">
      <c r="F937" s="1"/>
      <c r="G937"/>
      <c r="H937"/>
      <c r="I937" s="1"/>
      <c r="J937"/>
      <c r="K937"/>
      <c r="L937" s="1"/>
    </row>
    <row r="938" spans="6:12">
      <c r="F938" s="1"/>
      <c r="G938"/>
      <c r="H938"/>
      <c r="I938" s="1"/>
      <c r="J938"/>
      <c r="K938"/>
      <c r="L938" s="1"/>
    </row>
    <row r="939" spans="6:12">
      <c r="F939" s="1"/>
      <c r="G939"/>
      <c r="H939"/>
      <c r="I939" s="1"/>
      <c r="J939"/>
      <c r="K939"/>
      <c r="L939" s="1"/>
    </row>
    <row r="940" spans="6:12">
      <c r="F940" s="1"/>
      <c r="G940"/>
      <c r="H940"/>
      <c r="I940" s="1"/>
      <c r="J940"/>
      <c r="K940"/>
      <c r="L940" s="1"/>
    </row>
    <row r="941" spans="6:12">
      <c r="F941" s="1"/>
      <c r="G941"/>
      <c r="H941"/>
      <c r="I941" s="1"/>
      <c r="J941"/>
      <c r="K941"/>
      <c r="L941" s="1"/>
    </row>
    <row r="942" spans="6:12">
      <c r="F942" s="1"/>
      <c r="G942"/>
      <c r="H942"/>
      <c r="I942" s="1"/>
      <c r="J942"/>
      <c r="K942"/>
      <c r="L942" s="1"/>
    </row>
    <row r="943" spans="6:12">
      <c r="F943" s="1"/>
      <c r="G943"/>
      <c r="H943"/>
      <c r="I943" s="1"/>
      <c r="J943"/>
      <c r="K943"/>
      <c r="L943" s="1"/>
    </row>
    <row r="944" spans="6:12">
      <c r="F944" s="1"/>
      <c r="G944"/>
      <c r="H944"/>
      <c r="I944" s="1"/>
      <c r="J944"/>
      <c r="K944"/>
      <c r="L944" s="1"/>
    </row>
    <row r="945" spans="6:12">
      <c r="F945" s="1"/>
      <c r="G945"/>
      <c r="H945"/>
      <c r="I945" s="1"/>
      <c r="J945"/>
      <c r="K945"/>
      <c r="L945" s="1"/>
    </row>
    <row r="946" spans="6:12">
      <c r="F946" s="1"/>
      <c r="G946"/>
      <c r="H946"/>
      <c r="I946" s="1"/>
      <c r="J946"/>
      <c r="K946"/>
      <c r="L946" s="1"/>
    </row>
    <row r="947" spans="6:12">
      <c r="F947" s="1"/>
      <c r="G947"/>
      <c r="H947"/>
      <c r="I947" s="1"/>
      <c r="J947"/>
      <c r="K947"/>
      <c r="L947" s="1"/>
    </row>
    <row r="948" spans="6:12">
      <c r="F948" s="1"/>
      <c r="G948"/>
      <c r="H948"/>
      <c r="I948" s="1"/>
      <c r="J948"/>
      <c r="K948"/>
      <c r="L948" s="1"/>
    </row>
    <row r="949" spans="6:12">
      <c r="F949" s="1"/>
      <c r="G949"/>
      <c r="H949"/>
      <c r="I949" s="1"/>
      <c r="J949"/>
      <c r="K949"/>
      <c r="L949" s="1"/>
    </row>
    <row r="950" spans="6:12">
      <c r="F950" s="1"/>
      <c r="G950"/>
      <c r="H950"/>
      <c r="I950" s="1"/>
      <c r="J950"/>
      <c r="K950"/>
      <c r="L950" s="1"/>
    </row>
    <row r="951" spans="6:12">
      <c r="F951" s="1"/>
      <c r="G951"/>
      <c r="H951"/>
      <c r="I951" s="1"/>
      <c r="J951"/>
      <c r="K951"/>
      <c r="L951" s="1"/>
    </row>
    <row r="952" spans="6:12">
      <c r="F952" s="1"/>
      <c r="G952"/>
      <c r="H952"/>
      <c r="I952" s="1"/>
      <c r="J952"/>
      <c r="K952"/>
      <c r="L952" s="1"/>
    </row>
    <row r="953" spans="6:12">
      <c r="F953" s="1"/>
      <c r="G953"/>
      <c r="H953"/>
      <c r="I953" s="1"/>
      <c r="J953"/>
      <c r="K953"/>
      <c r="L953" s="1"/>
    </row>
    <row r="954" spans="6:12">
      <c r="F954" s="1"/>
      <c r="G954"/>
      <c r="H954"/>
      <c r="I954" s="1"/>
      <c r="J954"/>
      <c r="K954"/>
      <c r="L954" s="1"/>
    </row>
    <row r="955" spans="6:12">
      <c r="F955" s="1"/>
      <c r="G955"/>
      <c r="H955"/>
      <c r="I955" s="1"/>
      <c r="J955"/>
      <c r="K955"/>
      <c r="L955" s="1"/>
    </row>
    <row r="956" spans="6:12">
      <c r="F956" s="1"/>
      <c r="G956"/>
      <c r="H956"/>
      <c r="I956" s="1"/>
      <c r="J956"/>
      <c r="K956"/>
      <c r="L956" s="1"/>
    </row>
    <row r="957" spans="6:12">
      <c r="F957" s="1"/>
      <c r="G957"/>
      <c r="H957"/>
      <c r="I957" s="1"/>
      <c r="J957"/>
      <c r="K957"/>
      <c r="L957" s="1"/>
    </row>
    <row r="958" spans="6:12">
      <c r="F958" s="1"/>
      <c r="G958"/>
      <c r="H958"/>
      <c r="I958" s="1"/>
      <c r="J958"/>
      <c r="K958"/>
      <c r="L958" s="1"/>
    </row>
    <row r="959" spans="6:12">
      <c r="F959" s="1"/>
      <c r="G959"/>
      <c r="H959"/>
      <c r="I959" s="1"/>
      <c r="J959"/>
      <c r="K959"/>
      <c r="L959" s="1"/>
    </row>
    <row r="960" spans="6:12">
      <c r="F960" s="1"/>
      <c r="G960"/>
      <c r="H960"/>
      <c r="I960" s="1"/>
      <c r="J960"/>
      <c r="K960"/>
      <c r="L960" s="1"/>
    </row>
    <row r="961" spans="6:12">
      <c r="F961" s="1"/>
      <c r="G961"/>
      <c r="H961"/>
      <c r="I961" s="1"/>
      <c r="J961"/>
      <c r="K961"/>
      <c r="L961" s="1"/>
    </row>
    <row r="962" spans="6:12">
      <c r="F962" s="1"/>
      <c r="G962"/>
      <c r="H962"/>
      <c r="I962" s="1"/>
      <c r="J962"/>
      <c r="K962"/>
      <c r="L962" s="1"/>
    </row>
    <row r="963" spans="6:12">
      <c r="F963" s="1"/>
      <c r="G963"/>
      <c r="H963"/>
      <c r="I963" s="1"/>
      <c r="J963"/>
      <c r="K963"/>
      <c r="L963" s="1"/>
    </row>
    <row r="964" spans="6:12">
      <c r="F964" s="1"/>
      <c r="G964"/>
      <c r="H964"/>
      <c r="I964" s="1"/>
      <c r="J964"/>
      <c r="K964"/>
      <c r="L964" s="1"/>
    </row>
    <row r="965" spans="6:12">
      <c r="F965" s="1"/>
      <c r="G965"/>
      <c r="H965"/>
      <c r="I965" s="1"/>
      <c r="J965"/>
      <c r="K965"/>
      <c r="L965" s="1"/>
    </row>
    <row r="966" spans="6:12">
      <c r="F966" s="1"/>
      <c r="G966"/>
      <c r="H966"/>
      <c r="I966" s="1"/>
      <c r="J966"/>
      <c r="K966"/>
      <c r="L966" s="1"/>
    </row>
    <row r="967" spans="6:12">
      <c r="F967" s="1"/>
      <c r="G967"/>
      <c r="H967"/>
      <c r="I967" s="1"/>
      <c r="J967"/>
      <c r="K967"/>
      <c r="L967" s="1"/>
    </row>
    <row r="968" spans="6:12">
      <c r="F968" s="1"/>
      <c r="G968"/>
      <c r="H968"/>
      <c r="I968" s="1"/>
      <c r="J968"/>
      <c r="K968"/>
      <c r="L968" s="1"/>
    </row>
    <row r="969" spans="6:12">
      <c r="F969" s="1"/>
      <c r="G969"/>
      <c r="H969"/>
      <c r="I969" s="1"/>
      <c r="J969"/>
      <c r="K969"/>
      <c r="L969" s="1"/>
    </row>
    <row r="970" spans="6:12">
      <c r="F970" s="1"/>
      <c r="G970"/>
      <c r="H970"/>
      <c r="I970" s="1"/>
      <c r="J970"/>
      <c r="K970"/>
      <c r="L970" s="1"/>
    </row>
    <row r="971" spans="6:12">
      <c r="F971" s="1"/>
      <c r="G971"/>
      <c r="H971"/>
      <c r="I971" s="1"/>
      <c r="J971"/>
      <c r="K971"/>
      <c r="L971" s="1"/>
    </row>
    <row r="972" spans="6:12">
      <c r="F972" s="1"/>
      <c r="G972"/>
      <c r="H972"/>
      <c r="I972" s="1"/>
      <c r="J972"/>
      <c r="K972"/>
      <c r="L972" s="1"/>
    </row>
    <row r="973" spans="6:12">
      <c r="F973" s="1"/>
      <c r="G973"/>
      <c r="H973"/>
      <c r="I973" s="1"/>
      <c r="J973"/>
      <c r="K973"/>
      <c r="L973" s="1"/>
    </row>
    <row r="974" spans="6:12">
      <c r="F974" s="1"/>
      <c r="G974"/>
      <c r="H974"/>
      <c r="I974" s="1"/>
      <c r="J974"/>
      <c r="K974"/>
      <c r="L974" s="1"/>
    </row>
    <row r="975" spans="6:12">
      <c r="F975" s="1"/>
      <c r="G975"/>
      <c r="H975"/>
      <c r="I975" s="1"/>
      <c r="J975"/>
      <c r="K975"/>
      <c r="L975" s="1"/>
    </row>
    <row r="976" spans="6:12">
      <c r="F976" s="1"/>
      <c r="G976"/>
      <c r="H976"/>
      <c r="I976" s="1"/>
      <c r="J976"/>
      <c r="K976"/>
      <c r="L976" s="1"/>
    </row>
    <row r="977" spans="6:12">
      <c r="F977" s="1"/>
      <c r="G977"/>
      <c r="H977"/>
      <c r="I977" s="1"/>
      <c r="J977"/>
      <c r="K977"/>
      <c r="L977" s="1"/>
    </row>
    <row r="978" spans="6:12">
      <c r="F978" s="1"/>
      <c r="G978"/>
      <c r="H978"/>
      <c r="I978" s="1"/>
      <c r="J978"/>
      <c r="K978"/>
      <c r="L978" s="1"/>
    </row>
    <row r="979" spans="6:12">
      <c r="F979" s="1"/>
      <c r="G979"/>
      <c r="H979"/>
      <c r="I979" s="1"/>
      <c r="J979"/>
      <c r="K979"/>
      <c r="L979" s="1"/>
    </row>
    <row r="980" spans="6:12">
      <c r="F980" s="1"/>
      <c r="G980"/>
      <c r="H980"/>
      <c r="I980" s="1"/>
      <c r="J980"/>
      <c r="K980"/>
      <c r="L980" s="1"/>
    </row>
    <row r="981" spans="6:12">
      <c r="F981" s="1"/>
      <c r="G981"/>
      <c r="H981"/>
      <c r="I981" s="1"/>
      <c r="J981"/>
      <c r="K981"/>
      <c r="L981" s="1"/>
    </row>
    <row r="982" spans="6:12">
      <c r="F982" s="1"/>
      <c r="G982"/>
      <c r="H982"/>
      <c r="I982" s="1"/>
      <c r="J982"/>
      <c r="K982"/>
      <c r="L982" s="1"/>
    </row>
    <row r="983" spans="6:12">
      <c r="F983" s="1"/>
      <c r="G983"/>
      <c r="H983"/>
      <c r="I983" s="1"/>
      <c r="J983"/>
      <c r="K983"/>
      <c r="L983" s="1"/>
    </row>
    <row r="984" spans="6:12">
      <c r="F984" s="1"/>
      <c r="G984"/>
      <c r="H984"/>
      <c r="I984" s="1"/>
      <c r="J984"/>
      <c r="K984"/>
      <c r="L984" s="1"/>
    </row>
    <row r="985" spans="6:12">
      <c r="F985" s="1"/>
      <c r="G985"/>
      <c r="H985"/>
      <c r="I985" s="1"/>
      <c r="J985"/>
      <c r="K985"/>
      <c r="L985" s="1"/>
    </row>
    <row r="986" spans="6:12">
      <c r="F986" s="1"/>
      <c r="G986"/>
      <c r="H986"/>
      <c r="I986" s="1"/>
      <c r="J986"/>
      <c r="K986"/>
      <c r="L986" s="1"/>
    </row>
    <row r="987" spans="6:12">
      <c r="F987" s="1"/>
      <c r="G987"/>
      <c r="H987"/>
      <c r="I987" s="1"/>
      <c r="J987"/>
      <c r="K987"/>
      <c r="L987" s="1"/>
    </row>
    <row r="988" spans="6:12">
      <c r="F988" s="1"/>
      <c r="G988"/>
      <c r="H988"/>
      <c r="I988" s="1"/>
      <c r="J988"/>
      <c r="K988"/>
      <c r="L988" s="1"/>
    </row>
    <row r="989" spans="6:12">
      <c r="F989" s="1"/>
      <c r="G989"/>
      <c r="H989"/>
      <c r="I989" s="1"/>
      <c r="J989"/>
      <c r="K989"/>
      <c r="L989" s="1"/>
    </row>
    <row r="990" spans="6:12">
      <c r="F990" s="1"/>
      <c r="G990"/>
      <c r="H990"/>
      <c r="I990" s="1"/>
      <c r="J990"/>
      <c r="K990"/>
      <c r="L990" s="1"/>
    </row>
    <row r="991" spans="6:12">
      <c r="F991" s="1"/>
      <c r="G991"/>
      <c r="H991"/>
      <c r="I991" s="1"/>
      <c r="J991"/>
      <c r="K991"/>
      <c r="L991" s="1"/>
    </row>
    <row r="992" spans="6:12">
      <c r="F992" s="1"/>
      <c r="G992"/>
      <c r="H992"/>
      <c r="I992" s="1"/>
      <c r="J992"/>
      <c r="K992"/>
      <c r="L992" s="1"/>
    </row>
    <row r="993" spans="6:12">
      <c r="F993" s="1"/>
      <c r="G993"/>
      <c r="H993"/>
      <c r="I993" s="1"/>
      <c r="J993"/>
      <c r="K993"/>
      <c r="L993" s="1"/>
    </row>
    <row r="994" spans="6:12">
      <c r="F994" s="1"/>
      <c r="G994"/>
      <c r="H994"/>
      <c r="I994" s="1"/>
      <c r="J994"/>
      <c r="K994"/>
      <c r="L994" s="1"/>
    </row>
    <row r="995" spans="6:12">
      <c r="F995" s="1"/>
      <c r="G995"/>
      <c r="H995"/>
      <c r="I995" s="1"/>
      <c r="J995"/>
      <c r="K995"/>
      <c r="L995" s="1"/>
    </row>
    <row r="996" spans="6:12">
      <c r="F996" s="1"/>
      <c r="G996"/>
      <c r="H996"/>
      <c r="I996" s="1"/>
      <c r="J996"/>
      <c r="K996"/>
      <c r="L996" s="1"/>
    </row>
    <row r="997" spans="6:12">
      <c r="F997" s="1"/>
      <c r="G997"/>
      <c r="H997"/>
      <c r="I997" s="1"/>
      <c r="J997"/>
      <c r="K997"/>
      <c r="L997" s="1"/>
    </row>
    <row r="998" spans="6:12">
      <c r="F998" s="1"/>
      <c r="G998"/>
      <c r="H998"/>
      <c r="I998" s="1"/>
      <c r="J998"/>
      <c r="K998"/>
      <c r="L998" s="1"/>
    </row>
    <row r="999" spans="6:12">
      <c r="F999" s="1"/>
      <c r="G999"/>
      <c r="H999"/>
      <c r="I999" s="1"/>
      <c r="J999"/>
      <c r="K999"/>
      <c r="L999" s="1"/>
    </row>
    <row r="1000" spans="6:12">
      <c r="F1000" s="1"/>
      <c r="G1000"/>
      <c r="H1000"/>
      <c r="I1000" s="1"/>
      <c r="J1000"/>
      <c r="K1000"/>
      <c r="L1000" s="1"/>
    </row>
    <row r="1001" spans="6:12">
      <c r="F1001" s="1"/>
      <c r="G1001"/>
      <c r="H1001"/>
      <c r="I1001" s="1"/>
      <c r="J1001"/>
      <c r="K1001"/>
      <c r="L1001" s="1"/>
    </row>
    <row r="1002" spans="6:12">
      <c r="F1002" s="1"/>
      <c r="G1002"/>
      <c r="H1002"/>
      <c r="I1002" s="1"/>
      <c r="J1002"/>
      <c r="K1002"/>
      <c r="L1002" s="1"/>
    </row>
    <row r="1003" spans="6:12">
      <c r="F1003" s="1"/>
      <c r="G1003"/>
      <c r="H1003"/>
      <c r="I1003" s="1"/>
      <c r="J1003"/>
      <c r="K1003"/>
      <c r="L1003" s="1"/>
    </row>
    <row r="1004" spans="6:12">
      <c r="F1004" s="1"/>
      <c r="G1004"/>
      <c r="H1004"/>
      <c r="I1004" s="1"/>
      <c r="J1004"/>
      <c r="K1004"/>
      <c r="L1004" s="1"/>
    </row>
    <row r="1005" spans="6:12">
      <c r="F1005" s="1"/>
      <c r="G1005"/>
      <c r="H1005"/>
      <c r="I1005" s="1"/>
      <c r="J1005"/>
      <c r="K1005"/>
      <c r="L1005" s="1"/>
    </row>
    <row r="1006" spans="6:12">
      <c r="F1006" s="1"/>
      <c r="G1006"/>
      <c r="H1006"/>
      <c r="I1006" s="1"/>
      <c r="J1006"/>
      <c r="K1006"/>
      <c r="L1006" s="1"/>
    </row>
    <row r="1007" spans="6:12">
      <c r="F1007" s="1"/>
      <c r="G1007"/>
      <c r="H1007"/>
      <c r="I1007" s="1"/>
      <c r="J1007"/>
      <c r="K1007"/>
      <c r="L1007" s="1"/>
    </row>
    <row r="1008" spans="6:12">
      <c r="F1008" s="1"/>
      <c r="G1008"/>
      <c r="H1008"/>
      <c r="I1008" s="1"/>
      <c r="J1008"/>
      <c r="K1008"/>
      <c r="L1008" s="1"/>
    </row>
    <row r="1009" spans="6:12">
      <c r="F1009" s="1"/>
      <c r="G1009"/>
      <c r="H1009"/>
      <c r="I1009" s="1"/>
      <c r="J1009"/>
      <c r="K1009"/>
      <c r="L1009" s="1"/>
    </row>
    <row r="1010" spans="6:12">
      <c r="F1010" s="1"/>
      <c r="G1010"/>
      <c r="H1010"/>
      <c r="I1010" s="1"/>
      <c r="J1010"/>
      <c r="K1010"/>
      <c r="L1010" s="1"/>
    </row>
    <row r="1011" spans="6:12">
      <c r="F1011" s="1"/>
      <c r="G1011"/>
      <c r="H1011"/>
      <c r="I1011" s="1"/>
      <c r="J1011"/>
      <c r="K1011"/>
      <c r="L1011" s="1"/>
    </row>
    <row r="1012" spans="6:12">
      <c r="F1012" s="1"/>
      <c r="G1012"/>
      <c r="H1012"/>
      <c r="I1012" s="1"/>
      <c r="J1012"/>
      <c r="K1012"/>
      <c r="L1012" s="1"/>
    </row>
    <row r="1013" spans="6:12">
      <c r="F1013" s="1"/>
      <c r="G1013"/>
      <c r="H1013"/>
      <c r="I1013" s="1"/>
      <c r="J1013"/>
      <c r="K1013"/>
      <c r="L1013" s="1"/>
    </row>
    <row r="1014" spans="6:12">
      <c r="F1014" s="1"/>
      <c r="G1014"/>
      <c r="H1014"/>
      <c r="I1014" s="1"/>
      <c r="J1014"/>
      <c r="K1014"/>
      <c r="L1014" s="1"/>
    </row>
    <row r="1015" spans="6:12">
      <c r="F1015" s="1"/>
      <c r="G1015"/>
      <c r="H1015"/>
      <c r="I1015" s="1"/>
      <c r="J1015"/>
      <c r="K1015"/>
      <c r="L1015" s="1"/>
    </row>
    <row r="1016" spans="6:12">
      <c r="F1016" s="1"/>
      <c r="G1016"/>
      <c r="H1016"/>
      <c r="I1016" s="1"/>
      <c r="J1016"/>
      <c r="K1016"/>
      <c r="L1016" s="1"/>
    </row>
    <row r="1017" spans="6:12">
      <c r="F1017" s="1"/>
      <c r="G1017"/>
      <c r="H1017"/>
      <c r="I1017" s="1"/>
      <c r="J1017"/>
      <c r="K1017"/>
      <c r="L1017" s="1"/>
    </row>
    <row r="1018" spans="6:12">
      <c r="F1018" s="1"/>
      <c r="G1018"/>
      <c r="H1018"/>
      <c r="I1018" s="1"/>
      <c r="J1018"/>
      <c r="K1018"/>
      <c r="L1018" s="1"/>
    </row>
    <row r="1019" spans="6:12">
      <c r="F1019" s="1"/>
      <c r="G1019"/>
      <c r="H1019"/>
      <c r="I1019" s="1"/>
      <c r="J1019"/>
      <c r="K1019"/>
      <c r="L1019" s="1"/>
    </row>
    <row r="1020" spans="6:12">
      <c r="F1020" s="1"/>
      <c r="G1020"/>
      <c r="H1020"/>
      <c r="I1020" s="1"/>
      <c r="J1020"/>
      <c r="K1020"/>
      <c r="L1020" s="1"/>
    </row>
    <row r="1021" spans="6:12">
      <c r="F1021" s="1"/>
      <c r="G1021"/>
      <c r="H1021"/>
      <c r="I1021" s="1"/>
      <c r="J1021"/>
      <c r="K1021"/>
      <c r="L1021" s="1"/>
    </row>
    <row r="1022" spans="6:12">
      <c r="F1022" s="1"/>
      <c r="G1022"/>
      <c r="H1022"/>
      <c r="I1022" s="1"/>
      <c r="J1022"/>
      <c r="K1022"/>
      <c r="L1022" s="1"/>
    </row>
    <row r="1023" spans="6:12">
      <c r="F1023" s="1"/>
      <c r="G1023"/>
      <c r="H1023"/>
      <c r="I1023" s="1"/>
      <c r="J1023"/>
      <c r="K1023"/>
      <c r="L1023" s="1"/>
    </row>
    <row r="1024" spans="6:12">
      <c r="F1024" s="1"/>
      <c r="G1024"/>
      <c r="H1024"/>
      <c r="I1024" s="1"/>
      <c r="J1024"/>
      <c r="K1024"/>
      <c r="L1024" s="1"/>
    </row>
    <row r="1025" spans="6:12">
      <c r="F1025" s="1"/>
      <c r="G1025"/>
      <c r="H1025"/>
      <c r="I1025" s="1"/>
      <c r="J1025"/>
      <c r="K1025"/>
      <c r="L1025" s="1"/>
    </row>
    <row r="1026" spans="6:12">
      <c r="F1026" s="1"/>
      <c r="G1026"/>
      <c r="H1026"/>
      <c r="I1026" s="1"/>
      <c r="J1026"/>
      <c r="K1026"/>
      <c r="L1026" s="1"/>
    </row>
    <row r="1027" spans="6:12">
      <c r="F1027" s="1"/>
      <c r="G1027"/>
      <c r="H1027"/>
      <c r="I1027" s="1"/>
      <c r="J1027"/>
      <c r="K1027"/>
      <c r="L1027" s="1"/>
    </row>
    <row r="1028" spans="6:12">
      <c r="F1028" s="1"/>
      <c r="G1028"/>
      <c r="H1028"/>
      <c r="I1028" s="1"/>
      <c r="J1028"/>
      <c r="K1028"/>
      <c r="L1028" s="1"/>
    </row>
    <row r="1029" spans="6:12">
      <c r="F1029" s="1"/>
      <c r="G1029"/>
      <c r="H1029"/>
      <c r="I1029" s="1"/>
      <c r="J1029"/>
      <c r="K1029"/>
      <c r="L1029" s="1"/>
    </row>
    <row r="1030" spans="6:12">
      <c r="F1030" s="1"/>
      <c r="G1030"/>
      <c r="H1030"/>
      <c r="I1030" s="1"/>
      <c r="J1030"/>
      <c r="K1030"/>
      <c r="L1030" s="1"/>
    </row>
    <row r="1031" spans="6:12">
      <c r="F1031" s="1"/>
      <c r="G1031"/>
      <c r="H1031"/>
      <c r="I1031" s="1"/>
      <c r="J1031"/>
      <c r="K1031"/>
      <c r="L1031" s="1"/>
    </row>
    <row r="1032" spans="6:12">
      <c r="F1032" s="1"/>
      <c r="G1032"/>
      <c r="H1032"/>
      <c r="I1032" s="1"/>
      <c r="J1032"/>
      <c r="K1032"/>
      <c r="L1032" s="1"/>
    </row>
    <row r="1033" spans="6:12">
      <c r="F1033" s="1"/>
      <c r="G1033"/>
      <c r="H1033"/>
      <c r="I1033" s="1"/>
      <c r="J1033"/>
      <c r="K1033"/>
      <c r="L1033" s="1"/>
    </row>
    <row r="1034" spans="6:12">
      <c r="F1034" s="1"/>
      <c r="G1034"/>
      <c r="H1034"/>
      <c r="I1034" s="1"/>
      <c r="J1034"/>
      <c r="K1034"/>
      <c r="L1034" s="1"/>
    </row>
    <row r="1035" spans="6:12">
      <c r="F1035" s="1"/>
      <c r="G1035"/>
      <c r="H1035"/>
      <c r="I1035" s="1"/>
      <c r="J1035"/>
      <c r="K1035"/>
      <c r="L1035" s="1"/>
    </row>
    <row r="1036" spans="6:12">
      <c r="F1036" s="1"/>
      <c r="G1036"/>
      <c r="H1036"/>
      <c r="I1036" s="1"/>
      <c r="J1036"/>
      <c r="K1036"/>
      <c r="L1036" s="1"/>
    </row>
    <row r="1037" spans="6:12">
      <c r="F1037" s="1"/>
      <c r="G1037"/>
      <c r="H1037"/>
      <c r="I1037" s="1"/>
      <c r="J1037"/>
      <c r="K1037"/>
      <c r="L1037" s="1"/>
    </row>
    <row r="1038" spans="6:12">
      <c r="F1038" s="1"/>
      <c r="G1038"/>
      <c r="H1038"/>
      <c r="I1038" s="1"/>
      <c r="J1038"/>
      <c r="K1038"/>
      <c r="L1038" s="1"/>
    </row>
    <row r="1039" spans="6:12">
      <c r="F1039" s="1"/>
      <c r="G1039"/>
      <c r="H1039"/>
      <c r="I1039" s="1"/>
      <c r="J1039"/>
      <c r="K1039"/>
      <c r="L1039" s="1"/>
    </row>
    <row r="1040" spans="6:12">
      <c r="F1040" s="1"/>
      <c r="G1040"/>
      <c r="H1040"/>
      <c r="I1040" s="1"/>
      <c r="J1040"/>
      <c r="K1040"/>
      <c r="L1040" s="1"/>
    </row>
    <row r="1041" spans="6:12">
      <c r="F1041" s="1"/>
      <c r="G1041"/>
      <c r="H1041"/>
      <c r="I1041" s="1"/>
      <c r="J1041"/>
      <c r="K1041"/>
      <c r="L1041" s="1"/>
    </row>
    <row r="1042" spans="6:12">
      <c r="F1042" s="1"/>
      <c r="G1042"/>
      <c r="H1042"/>
      <c r="I1042" s="1"/>
      <c r="J1042"/>
      <c r="K1042"/>
      <c r="L1042" s="1"/>
    </row>
    <row r="1043" spans="6:12">
      <c r="F1043" s="1"/>
      <c r="G1043"/>
      <c r="H1043"/>
      <c r="I1043" s="1"/>
      <c r="J1043"/>
      <c r="K1043"/>
      <c r="L1043" s="1"/>
    </row>
    <row r="1044" spans="6:12">
      <c r="F1044" s="1"/>
      <c r="G1044"/>
      <c r="H1044"/>
      <c r="I1044" s="1"/>
      <c r="J1044"/>
      <c r="K1044"/>
      <c r="L1044" s="1"/>
    </row>
    <row r="1045" spans="6:12">
      <c r="F1045" s="1"/>
      <c r="G1045"/>
      <c r="H1045"/>
      <c r="I1045" s="1"/>
      <c r="J1045"/>
      <c r="K1045"/>
      <c r="L1045" s="1"/>
    </row>
    <row r="1046" spans="6:12">
      <c r="F1046" s="1"/>
      <c r="G1046"/>
      <c r="H1046"/>
      <c r="I1046" s="1"/>
      <c r="J1046"/>
      <c r="K1046"/>
      <c r="L1046" s="1"/>
    </row>
    <row r="1047" spans="6:12">
      <c r="F1047" s="1"/>
      <c r="G1047"/>
      <c r="H1047"/>
      <c r="I1047" s="1"/>
      <c r="J1047"/>
      <c r="K1047"/>
      <c r="L1047" s="1"/>
    </row>
    <row r="1048" spans="6:12">
      <c r="F1048" s="1"/>
      <c r="G1048"/>
      <c r="H1048"/>
      <c r="I1048" s="1"/>
      <c r="J1048"/>
      <c r="K1048"/>
      <c r="L1048" s="1"/>
    </row>
    <row r="1049" spans="6:12">
      <c r="F1049" s="1"/>
      <c r="G1049"/>
      <c r="H1049"/>
      <c r="I1049" s="1"/>
      <c r="J1049"/>
      <c r="K1049"/>
      <c r="L1049" s="1"/>
    </row>
    <row r="1050" spans="6:12">
      <c r="F1050" s="1"/>
      <c r="G1050"/>
      <c r="H1050"/>
      <c r="I1050" s="1"/>
      <c r="J1050"/>
      <c r="K1050"/>
      <c r="L1050" s="1"/>
    </row>
    <row r="1051" spans="6:12">
      <c r="F1051" s="1"/>
      <c r="G1051"/>
      <c r="H1051"/>
      <c r="I1051" s="1"/>
      <c r="J1051"/>
      <c r="K1051"/>
      <c r="L1051" s="1"/>
    </row>
    <row r="1052" spans="6:12">
      <c r="F1052" s="1"/>
      <c r="G1052"/>
      <c r="H1052"/>
      <c r="I1052" s="1"/>
      <c r="J1052"/>
      <c r="K1052"/>
      <c r="L1052" s="1"/>
    </row>
    <row r="1053" spans="6:12">
      <c r="F1053" s="1"/>
      <c r="G1053"/>
      <c r="H1053"/>
      <c r="I1053" s="1"/>
      <c r="J1053"/>
      <c r="K1053"/>
      <c r="L1053" s="1"/>
    </row>
    <row r="1054" spans="6:12">
      <c r="F1054" s="1"/>
      <c r="G1054"/>
      <c r="H1054"/>
      <c r="I1054" s="1"/>
      <c r="J1054"/>
      <c r="K1054"/>
      <c r="L1054" s="1"/>
    </row>
    <row r="1055" spans="6:12">
      <c r="F1055" s="1"/>
      <c r="G1055"/>
      <c r="H1055"/>
      <c r="I1055" s="1"/>
      <c r="J1055"/>
      <c r="K1055"/>
      <c r="L1055" s="1"/>
    </row>
    <row r="1056" spans="6:12">
      <c r="F1056" s="1"/>
      <c r="G1056"/>
      <c r="H1056"/>
      <c r="I1056" s="1"/>
      <c r="J1056"/>
      <c r="K1056"/>
      <c r="L1056" s="1"/>
    </row>
    <row r="1057" spans="6:12">
      <c r="F1057" s="1"/>
      <c r="G1057"/>
      <c r="H1057"/>
      <c r="I1057" s="1"/>
      <c r="J1057"/>
      <c r="K1057"/>
      <c r="L1057" s="1"/>
    </row>
    <row r="1058" spans="6:12">
      <c r="F1058" s="1"/>
      <c r="G1058"/>
      <c r="H1058"/>
      <c r="I1058" s="1"/>
      <c r="J1058"/>
      <c r="K1058"/>
      <c r="L1058" s="1"/>
    </row>
    <row r="1059" spans="6:12">
      <c r="F1059" s="1"/>
      <c r="G1059"/>
      <c r="H1059"/>
      <c r="I1059" s="1"/>
      <c r="J1059"/>
      <c r="K1059"/>
      <c r="L1059" s="1"/>
    </row>
    <row r="1060" spans="6:12">
      <c r="F1060" s="1"/>
      <c r="G1060"/>
      <c r="H1060"/>
      <c r="I1060" s="1"/>
      <c r="J1060"/>
      <c r="K1060"/>
      <c r="L1060" s="1"/>
    </row>
    <row r="1061" spans="6:12">
      <c r="F1061" s="1"/>
      <c r="G1061"/>
      <c r="H1061"/>
      <c r="I1061" s="1"/>
      <c r="J1061"/>
      <c r="K1061"/>
      <c r="L1061" s="1"/>
    </row>
    <row r="1062" spans="6:12">
      <c r="F1062" s="1"/>
      <c r="G1062"/>
      <c r="H1062"/>
      <c r="I1062" s="1"/>
      <c r="J1062"/>
      <c r="K1062"/>
      <c r="L1062" s="1"/>
    </row>
    <row r="1063" spans="6:12">
      <c r="F1063" s="1"/>
      <c r="G1063"/>
      <c r="H1063"/>
      <c r="I1063" s="1"/>
      <c r="J1063"/>
      <c r="K1063"/>
      <c r="L1063" s="1"/>
    </row>
    <row r="1064" spans="6:12">
      <c r="F1064" s="1"/>
      <c r="G1064"/>
      <c r="H1064"/>
      <c r="I1064" s="1"/>
      <c r="J1064"/>
      <c r="K1064"/>
      <c r="L1064" s="1"/>
    </row>
    <row r="1065" spans="6:12">
      <c r="F1065" s="1"/>
      <c r="G1065"/>
      <c r="H1065"/>
      <c r="I1065" s="1"/>
      <c r="J1065"/>
      <c r="K1065"/>
      <c r="L1065" s="1"/>
    </row>
    <row r="1066" spans="6:12">
      <c r="F1066" s="1"/>
      <c r="G1066"/>
      <c r="H1066"/>
      <c r="I1066" s="1"/>
      <c r="J1066"/>
      <c r="K1066"/>
      <c r="L1066" s="1"/>
    </row>
    <row r="1067" spans="6:12">
      <c r="F1067" s="1"/>
      <c r="G1067"/>
      <c r="H1067"/>
      <c r="I1067" s="1"/>
      <c r="J1067"/>
      <c r="K1067"/>
      <c r="L1067" s="1"/>
    </row>
    <row r="1068" spans="6:12">
      <c r="F1068" s="1"/>
      <c r="G1068"/>
      <c r="H1068"/>
      <c r="I1068" s="1"/>
      <c r="J1068"/>
      <c r="K1068"/>
      <c r="L1068" s="1"/>
    </row>
    <row r="1069" spans="6:12">
      <c r="F1069" s="1"/>
      <c r="G1069"/>
      <c r="H1069"/>
      <c r="I1069" s="1"/>
      <c r="J1069"/>
      <c r="K1069"/>
      <c r="L1069" s="1"/>
    </row>
    <row r="1070" spans="6:12">
      <c r="F1070" s="1"/>
      <c r="G1070"/>
      <c r="H1070"/>
      <c r="I1070" s="1"/>
      <c r="J1070"/>
      <c r="K1070"/>
      <c r="L1070" s="1"/>
    </row>
    <row r="1071" spans="6:12">
      <c r="F1071" s="1"/>
      <c r="G1071"/>
      <c r="H1071"/>
      <c r="I1071" s="1"/>
      <c r="J1071"/>
      <c r="K1071"/>
      <c r="L1071" s="1"/>
    </row>
    <row r="1072" spans="6:12">
      <c r="F1072" s="1"/>
      <c r="G1072"/>
      <c r="H1072"/>
      <c r="I1072" s="1"/>
      <c r="J1072"/>
      <c r="K1072"/>
      <c r="L1072" s="1"/>
    </row>
    <row r="1073" spans="6:12">
      <c r="F1073" s="1"/>
      <c r="G1073"/>
      <c r="H1073"/>
      <c r="I1073" s="1"/>
      <c r="J1073"/>
      <c r="K1073"/>
      <c r="L1073" s="1"/>
    </row>
    <row r="1074" spans="6:12">
      <c r="F1074" s="1"/>
      <c r="G1074"/>
      <c r="H1074"/>
      <c r="I1074" s="1"/>
      <c r="J1074"/>
      <c r="K1074"/>
      <c r="L1074" s="1"/>
    </row>
    <row r="1075" spans="6:12">
      <c r="F1075" s="1"/>
      <c r="G1075"/>
      <c r="H1075"/>
      <c r="I1075" s="1"/>
      <c r="J1075"/>
      <c r="K1075"/>
      <c r="L1075" s="1"/>
    </row>
    <row r="1076" spans="6:12">
      <c r="F1076" s="1"/>
      <c r="G1076"/>
      <c r="H1076"/>
      <c r="I1076" s="1"/>
      <c r="J1076"/>
      <c r="K1076"/>
      <c r="L1076" s="1"/>
    </row>
    <row r="1077" spans="6:12">
      <c r="F1077" s="1"/>
      <c r="G1077"/>
      <c r="H1077"/>
      <c r="I1077" s="1"/>
      <c r="J1077"/>
      <c r="K1077"/>
      <c r="L1077" s="1"/>
    </row>
    <row r="1078" spans="6:12">
      <c r="F1078" s="1"/>
      <c r="G1078"/>
      <c r="H1078"/>
      <c r="I1078" s="1"/>
      <c r="J1078"/>
      <c r="K1078"/>
      <c r="L1078" s="1"/>
    </row>
    <row r="1079" spans="6:12">
      <c r="F1079" s="1"/>
      <c r="G1079"/>
      <c r="H1079"/>
      <c r="I1079" s="1"/>
      <c r="J1079"/>
      <c r="K1079"/>
      <c r="L1079" s="1"/>
    </row>
    <row r="1080" spans="6:12">
      <c r="F1080" s="1"/>
      <c r="G1080"/>
      <c r="H1080"/>
      <c r="I1080" s="1"/>
      <c r="J1080"/>
      <c r="K1080"/>
      <c r="L1080" s="1"/>
    </row>
    <row r="1081" spans="6:12">
      <c r="F1081" s="1"/>
      <c r="G1081"/>
      <c r="H1081"/>
      <c r="I1081" s="1"/>
      <c r="J1081"/>
      <c r="K1081"/>
      <c r="L1081" s="1"/>
    </row>
    <row r="1082" spans="6:12">
      <c r="F1082" s="1"/>
      <c r="G1082"/>
      <c r="H1082"/>
      <c r="I1082" s="1"/>
      <c r="J1082"/>
      <c r="K1082"/>
      <c r="L1082" s="1"/>
    </row>
    <row r="1083" spans="6:12">
      <c r="F1083" s="1"/>
      <c r="G1083"/>
      <c r="H1083"/>
      <c r="I1083" s="1"/>
      <c r="J1083"/>
      <c r="K1083"/>
      <c r="L1083" s="1"/>
    </row>
    <row r="1084" spans="6:12">
      <c r="F1084" s="1"/>
      <c r="G1084"/>
      <c r="H1084"/>
      <c r="I1084" s="1"/>
      <c r="J1084"/>
      <c r="K1084"/>
      <c r="L1084" s="1"/>
    </row>
    <row r="1085" spans="6:12">
      <c r="F1085" s="1"/>
      <c r="G1085"/>
      <c r="H1085"/>
      <c r="I1085" s="1"/>
      <c r="J1085"/>
      <c r="K1085"/>
      <c r="L1085" s="1"/>
    </row>
    <row r="1086" spans="6:12">
      <c r="F1086" s="1"/>
      <c r="G1086"/>
      <c r="H1086"/>
      <c r="I1086" s="1"/>
      <c r="J1086"/>
      <c r="K1086"/>
      <c r="L1086" s="1"/>
    </row>
    <row r="1087" spans="6:12">
      <c r="F1087" s="1"/>
      <c r="G1087"/>
      <c r="H1087"/>
      <c r="I1087" s="1"/>
      <c r="J1087"/>
      <c r="K1087"/>
      <c r="L1087" s="1"/>
    </row>
    <row r="1088" spans="6:12">
      <c r="F1088" s="1"/>
      <c r="G1088"/>
      <c r="H1088"/>
      <c r="I1088" s="1"/>
      <c r="J1088"/>
      <c r="K1088"/>
      <c r="L1088" s="1"/>
    </row>
    <row r="1089" spans="6:12">
      <c r="F1089" s="1"/>
      <c r="G1089"/>
      <c r="H1089"/>
      <c r="I1089" s="1"/>
      <c r="J1089"/>
      <c r="K1089"/>
      <c r="L1089" s="1"/>
    </row>
    <row r="1090" spans="6:12">
      <c r="F1090" s="1"/>
      <c r="G1090"/>
      <c r="H1090"/>
      <c r="I1090" s="1"/>
      <c r="J1090"/>
      <c r="K1090"/>
      <c r="L1090" s="1"/>
    </row>
    <row r="1091" spans="6:12">
      <c r="F1091" s="1"/>
      <c r="G1091"/>
      <c r="H1091"/>
      <c r="I1091" s="1"/>
      <c r="J1091"/>
      <c r="K1091"/>
      <c r="L1091" s="1"/>
    </row>
    <row r="1092" spans="6:12">
      <c r="F1092" s="1"/>
      <c r="G1092"/>
      <c r="H1092"/>
      <c r="I1092" s="1"/>
      <c r="J1092"/>
      <c r="K1092"/>
      <c r="L1092" s="1"/>
    </row>
    <row r="1093" spans="6:12">
      <c r="F1093" s="1"/>
      <c r="G1093"/>
      <c r="H1093"/>
      <c r="I1093" s="1"/>
      <c r="J1093"/>
      <c r="K1093"/>
      <c r="L1093" s="1"/>
    </row>
    <row r="1094" spans="6:12">
      <c r="F1094" s="1"/>
      <c r="G1094"/>
      <c r="H1094"/>
      <c r="I1094" s="1"/>
      <c r="J1094"/>
      <c r="K1094"/>
      <c r="L1094" s="1"/>
    </row>
    <row r="1095" spans="6:12">
      <c r="F1095" s="1"/>
      <c r="G1095"/>
      <c r="H1095"/>
      <c r="I1095" s="1"/>
      <c r="J1095"/>
      <c r="K1095"/>
      <c r="L1095" s="1"/>
    </row>
    <row r="1096" spans="6:12">
      <c r="F1096" s="1"/>
      <c r="G1096"/>
      <c r="H1096"/>
      <c r="I1096" s="1"/>
      <c r="J1096"/>
      <c r="K1096"/>
      <c r="L1096" s="1"/>
    </row>
    <row r="1097" spans="6:12">
      <c r="F1097" s="1"/>
      <c r="G1097"/>
      <c r="H1097"/>
      <c r="I1097" s="1"/>
      <c r="J1097"/>
      <c r="K1097"/>
      <c r="L1097" s="1"/>
    </row>
    <row r="1098" spans="6:12">
      <c r="F1098" s="1"/>
      <c r="G1098"/>
      <c r="H1098"/>
      <c r="I1098" s="1"/>
      <c r="J1098"/>
      <c r="K1098"/>
      <c r="L1098" s="1"/>
    </row>
    <row r="1099" spans="6:12">
      <c r="F1099" s="1"/>
      <c r="G1099"/>
      <c r="H1099"/>
      <c r="I1099" s="1"/>
      <c r="J1099"/>
      <c r="K1099"/>
      <c r="L1099" s="1"/>
    </row>
    <row r="1100" spans="6:12">
      <c r="F1100" s="1"/>
      <c r="G1100"/>
      <c r="H1100"/>
      <c r="I1100" s="1"/>
      <c r="J1100"/>
      <c r="K1100"/>
      <c r="L1100" s="1"/>
    </row>
    <row r="1101" spans="6:12">
      <c r="F1101" s="1"/>
      <c r="G1101"/>
      <c r="H1101"/>
      <c r="I1101" s="1"/>
      <c r="J1101"/>
      <c r="K1101"/>
      <c r="L1101" s="1"/>
    </row>
    <row r="1102" spans="6:12">
      <c r="F1102" s="1"/>
      <c r="G1102"/>
      <c r="H1102"/>
      <c r="I1102" s="1"/>
      <c r="J1102"/>
      <c r="K1102"/>
      <c r="L1102" s="1"/>
    </row>
    <row r="1103" spans="6:12">
      <c r="F1103" s="1"/>
      <c r="G1103"/>
      <c r="H1103"/>
      <c r="I1103" s="1"/>
      <c r="J1103"/>
      <c r="K1103"/>
      <c r="L1103" s="1"/>
    </row>
    <row r="1104" spans="6:12">
      <c r="F1104" s="1"/>
      <c r="G1104"/>
      <c r="H1104"/>
      <c r="I1104" s="1"/>
      <c r="J1104"/>
      <c r="K1104"/>
      <c r="L1104" s="1"/>
    </row>
    <row r="1105" spans="6:12">
      <c r="F1105" s="1"/>
      <c r="G1105"/>
      <c r="H1105"/>
      <c r="I1105" s="1"/>
      <c r="J1105"/>
      <c r="K1105"/>
      <c r="L1105" s="1"/>
    </row>
    <row r="1106" spans="6:12">
      <c r="F1106" s="1"/>
      <c r="G1106"/>
      <c r="H1106"/>
      <c r="I1106" s="1"/>
      <c r="J1106"/>
      <c r="K1106"/>
      <c r="L1106" s="1"/>
    </row>
    <row r="1107" spans="6:12">
      <c r="F1107" s="1"/>
      <c r="G1107"/>
      <c r="H1107"/>
      <c r="I1107" s="1"/>
      <c r="J1107"/>
      <c r="K1107"/>
      <c r="L1107" s="1"/>
    </row>
    <row r="1108" spans="6:12">
      <c r="F1108" s="1"/>
      <c r="G1108"/>
      <c r="H1108"/>
      <c r="I1108" s="1"/>
      <c r="J1108"/>
      <c r="K1108"/>
      <c r="L1108" s="1"/>
    </row>
    <row r="1109" spans="6:12">
      <c r="F1109" s="1"/>
      <c r="G1109"/>
      <c r="H1109"/>
      <c r="I1109" s="1"/>
      <c r="J1109"/>
      <c r="K1109"/>
      <c r="L1109" s="1"/>
    </row>
    <row r="1110" spans="6:12">
      <c r="F1110" s="1"/>
      <c r="G1110"/>
      <c r="H1110"/>
      <c r="I1110" s="1"/>
      <c r="J1110"/>
      <c r="K1110"/>
      <c r="L1110" s="1"/>
    </row>
    <row r="1111" spans="6:12">
      <c r="F1111" s="1"/>
      <c r="G1111"/>
      <c r="H1111"/>
      <c r="I1111" s="1"/>
      <c r="J1111"/>
      <c r="K1111"/>
      <c r="L1111" s="1"/>
    </row>
    <row r="1112" spans="6:12">
      <c r="F1112" s="1"/>
      <c r="G1112"/>
      <c r="H1112"/>
      <c r="I1112" s="1"/>
      <c r="J1112"/>
      <c r="K1112"/>
      <c r="L1112" s="1"/>
    </row>
    <row r="1113" spans="6:12">
      <c r="F1113" s="1"/>
      <c r="G1113"/>
      <c r="H1113"/>
      <c r="I1113" s="1"/>
      <c r="J1113"/>
      <c r="K1113"/>
      <c r="L1113" s="1"/>
    </row>
    <row r="1114" spans="6:12">
      <c r="F1114" s="1"/>
      <c r="G1114"/>
      <c r="H1114"/>
      <c r="I1114" s="1"/>
      <c r="J1114"/>
      <c r="K1114"/>
      <c r="L1114" s="1"/>
    </row>
    <row r="1115" spans="6:12">
      <c r="F1115" s="1"/>
      <c r="G1115"/>
      <c r="H1115"/>
      <c r="I1115" s="1"/>
      <c r="J1115"/>
      <c r="K1115"/>
      <c r="L1115" s="1"/>
    </row>
    <row r="1116" spans="6:12">
      <c r="F1116" s="1"/>
      <c r="G1116"/>
      <c r="H1116"/>
      <c r="I1116" s="1"/>
      <c r="J1116"/>
      <c r="K1116"/>
      <c r="L1116" s="1"/>
    </row>
    <row r="1117" spans="6:12">
      <c r="F1117" s="1"/>
      <c r="G1117"/>
      <c r="H1117"/>
      <c r="I1117" s="1"/>
      <c r="J1117"/>
      <c r="K1117"/>
      <c r="L1117" s="1"/>
    </row>
    <row r="1118" spans="6:12">
      <c r="F1118" s="1"/>
      <c r="G1118"/>
      <c r="H1118"/>
      <c r="I1118" s="1"/>
      <c r="J1118"/>
      <c r="K1118"/>
      <c r="L1118" s="1"/>
    </row>
    <row r="1119" spans="6:12">
      <c r="F1119" s="1"/>
      <c r="G1119"/>
      <c r="H1119"/>
      <c r="I1119" s="1"/>
      <c r="J1119"/>
      <c r="K1119"/>
      <c r="L1119" s="1"/>
    </row>
    <row r="1120" spans="6:12">
      <c r="F1120" s="1"/>
      <c r="G1120"/>
      <c r="H1120"/>
      <c r="I1120" s="1"/>
      <c r="J1120"/>
      <c r="K1120"/>
      <c r="L1120" s="1"/>
    </row>
    <row r="1121" spans="6:12">
      <c r="F1121" s="1"/>
      <c r="G1121"/>
      <c r="H1121"/>
      <c r="I1121" s="1"/>
      <c r="J1121"/>
      <c r="K1121"/>
      <c r="L1121" s="1"/>
    </row>
    <row r="1122" spans="6:12">
      <c r="F1122" s="1"/>
      <c r="G1122"/>
      <c r="H1122"/>
      <c r="I1122" s="1"/>
      <c r="J1122"/>
      <c r="K1122"/>
      <c r="L1122" s="1"/>
    </row>
    <row r="1123" spans="6:12">
      <c r="F1123" s="1"/>
      <c r="G1123"/>
      <c r="H1123"/>
      <c r="I1123" s="1"/>
      <c r="J1123"/>
      <c r="K1123"/>
      <c r="L1123" s="1"/>
    </row>
    <row r="1124" spans="6:12">
      <c r="F1124" s="1"/>
      <c r="G1124"/>
      <c r="H1124"/>
      <c r="I1124" s="1"/>
      <c r="J1124"/>
      <c r="K1124"/>
      <c r="L1124" s="1"/>
    </row>
    <row r="1125" spans="6:12">
      <c r="F1125" s="1"/>
      <c r="G1125"/>
      <c r="H1125"/>
      <c r="I1125" s="1"/>
      <c r="J1125"/>
      <c r="K1125"/>
      <c r="L1125" s="1"/>
    </row>
    <row r="1126" spans="6:12">
      <c r="F1126" s="1"/>
      <c r="G1126"/>
      <c r="H1126"/>
      <c r="I1126" s="1"/>
      <c r="J1126"/>
      <c r="K1126"/>
      <c r="L1126" s="1"/>
    </row>
    <row r="1127" spans="6:12">
      <c r="F1127" s="1"/>
      <c r="G1127"/>
      <c r="H1127"/>
      <c r="I1127" s="1"/>
      <c r="J1127"/>
      <c r="K1127"/>
      <c r="L1127" s="1"/>
    </row>
    <row r="1128" spans="6:12">
      <c r="F1128" s="1"/>
      <c r="G1128"/>
      <c r="H1128"/>
      <c r="I1128" s="1"/>
      <c r="J1128"/>
      <c r="K1128"/>
      <c r="L1128" s="1"/>
    </row>
    <row r="1129" spans="6:12">
      <c r="F1129" s="1"/>
      <c r="G1129"/>
      <c r="H1129"/>
      <c r="I1129" s="1"/>
      <c r="J1129"/>
      <c r="K1129"/>
      <c r="L1129" s="1"/>
    </row>
    <row r="1130" spans="6:12">
      <c r="F1130" s="1"/>
      <c r="G1130"/>
      <c r="H1130"/>
      <c r="I1130" s="1"/>
      <c r="J1130"/>
      <c r="K1130"/>
      <c r="L1130" s="1"/>
    </row>
    <row r="1131" spans="6:12">
      <c r="F1131" s="1"/>
      <c r="G1131"/>
      <c r="H1131"/>
      <c r="I1131" s="1"/>
      <c r="J1131"/>
      <c r="K1131"/>
      <c r="L1131" s="1"/>
    </row>
    <row r="1132" spans="6:12">
      <c r="F1132" s="1"/>
      <c r="G1132"/>
      <c r="H1132"/>
      <c r="I1132" s="1"/>
      <c r="J1132"/>
      <c r="K1132"/>
      <c r="L1132" s="1"/>
    </row>
    <row r="1133" spans="6:12">
      <c r="F1133" s="1"/>
      <c r="G1133"/>
      <c r="H1133"/>
      <c r="I1133" s="1"/>
      <c r="J1133"/>
      <c r="K1133"/>
      <c r="L1133" s="1"/>
    </row>
    <row r="1134" spans="6:12">
      <c r="F1134" s="1"/>
      <c r="G1134"/>
      <c r="H1134"/>
      <c r="I1134" s="1"/>
      <c r="J1134"/>
      <c r="K1134"/>
      <c r="L1134" s="1"/>
    </row>
    <row r="1135" spans="6:12">
      <c r="F1135" s="1"/>
      <c r="G1135"/>
      <c r="H1135"/>
      <c r="I1135" s="1"/>
      <c r="J1135"/>
      <c r="K1135"/>
      <c r="L1135" s="1"/>
    </row>
    <row r="1136" spans="6:12">
      <c r="F1136" s="1"/>
      <c r="G1136"/>
      <c r="H1136"/>
      <c r="I1136" s="1"/>
      <c r="J1136"/>
      <c r="K1136"/>
      <c r="L1136" s="1"/>
    </row>
    <row r="1137" spans="6:12">
      <c r="F1137" s="1"/>
      <c r="G1137"/>
      <c r="H1137"/>
      <c r="I1137" s="1"/>
      <c r="J1137"/>
      <c r="K1137"/>
      <c r="L1137" s="1"/>
    </row>
    <row r="1138" spans="6:12">
      <c r="F1138" s="1"/>
      <c r="G1138"/>
      <c r="H1138"/>
      <c r="I1138" s="1"/>
      <c r="J1138"/>
      <c r="K1138"/>
      <c r="L1138" s="1"/>
    </row>
    <row r="1139" spans="6:12">
      <c r="F1139" s="1"/>
      <c r="G1139"/>
      <c r="H1139"/>
      <c r="I1139" s="1"/>
      <c r="J1139"/>
      <c r="K1139"/>
      <c r="L1139" s="1"/>
    </row>
    <row r="1140" spans="6:12">
      <c r="F1140" s="1"/>
      <c r="G1140"/>
      <c r="H1140"/>
      <c r="I1140" s="1"/>
      <c r="J1140"/>
      <c r="K1140"/>
      <c r="L1140" s="1"/>
    </row>
    <row r="1141" spans="6:12">
      <c r="F1141" s="1"/>
      <c r="G1141"/>
      <c r="H1141"/>
      <c r="I1141" s="1"/>
      <c r="J1141"/>
      <c r="K1141"/>
      <c r="L1141" s="1"/>
    </row>
    <row r="1142" spans="6:12">
      <c r="F1142" s="1"/>
      <c r="G1142"/>
      <c r="H1142"/>
      <c r="I1142" s="1"/>
      <c r="J1142"/>
      <c r="K1142"/>
      <c r="L1142" s="1"/>
    </row>
    <row r="1143" spans="6:12">
      <c r="F1143" s="1"/>
      <c r="G1143"/>
      <c r="H1143"/>
      <c r="I1143" s="1"/>
      <c r="J1143"/>
      <c r="K1143"/>
      <c r="L1143" s="1"/>
    </row>
    <row r="1144" spans="6:12">
      <c r="F1144" s="1"/>
      <c r="G1144"/>
      <c r="H1144"/>
      <c r="I1144" s="1"/>
      <c r="J1144"/>
      <c r="K1144"/>
      <c r="L1144" s="1"/>
    </row>
    <row r="1145" spans="6:12">
      <c r="F1145" s="1"/>
      <c r="G1145"/>
      <c r="H1145"/>
      <c r="I1145" s="1"/>
      <c r="J1145"/>
      <c r="K1145"/>
      <c r="L1145" s="1"/>
    </row>
    <row r="1146" spans="6:12">
      <c r="F1146" s="1"/>
      <c r="G1146"/>
      <c r="H1146"/>
      <c r="I1146" s="1"/>
      <c r="J1146"/>
      <c r="K1146"/>
      <c r="L1146" s="1"/>
    </row>
    <row r="1147" spans="6:12">
      <c r="F1147" s="1"/>
      <c r="G1147"/>
      <c r="H1147"/>
      <c r="I1147" s="1"/>
      <c r="J1147"/>
      <c r="K1147"/>
      <c r="L1147" s="1"/>
    </row>
    <row r="1148" spans="6:12">
      <c r="F1148" s="1"/>
      <c r="G1148"/>
      <c r="H1148"/>
      <c r="I1148" s="1"/>
      <c r="J1148"/>
      <c r="K1148"/>
      <c r="L1148" s="1"/>
    </row>
    <row r="1149" spans="6:12">
      <c r="F1149" s="1"/>
      <c r="G1149"/>
      <c r="H1149"/>
      <c r="I1149" s="1"/>
      <c r="J1149"/>
      <c r="K1149"/>
      <c r="L1149" s="1"/>
    </row>
    <row r="1150" spans="6:12">
      <c r="F1150" s="1"/>
      <c r="G1150"/>
      <c r="H1150"/>
      <c r="I1150" s="1"/>
      <c r="J1150"/>
      <c r="K1150"/>
      <c r="L1150" s="1"/>
    </row>
    <row r="1151" spans="6:12">
      <c r="F1151" s="1"/>
      <c r="G1151"/>
      <c r="H1151"/>
      <c r="I1151" s="1"/>
      <c r="J1151"/>
      <c r="K1151"/>
      <c r="L1151" s="1"/>
    </row>
    <row r="1152" spans="6:12">
      <c r="F1152" s="1"/>
      <c r="G1152"/>
      <c r="H1152"/>
      <c r="I1152" s="1"/>
      <c r="J1152"/>
      <c r="K1152"/>
      <c r="L1152" s="1"/>
    </row>
    <row r="1153" spans="6:12">
      <c r="F1153" s="1"/>
      <c r="G1153"/>
      <c r="H1153"/>
      <c r="I1153" s="1"/>
      <c r="J1153"/>
      <c r="K1153"/>
      <c r="L1153" s="1"/>
    </row>
    <row r="1154" spans="6:12">
      <c r="F1154" s="1"/>
      <c r="G1154"/>
      <c r="H1154"/>
      <c r="I1154" s="1"/>
      <c r="J1154"/>
      <c r="K1154"/>
      <c r="L1154" s="1"/>
    </row>
    <row r="1155" spans="6:12">
      <c r="F1155" s="1"/>
      <c r="G1155"/>
      <c r="H1155"/>
      <c r="I1155" s="1"/>
      <c r="J1155"/>
      <c r="K1155"/>
      <c r="L1155" s="1"/>
    </row>
    <row r="1156" spans="6:12">
      <c r="F1156" s="1"/>
      <c r="G1156"/>
      <c r="H1156"/>
      <c r="I1156" s="1"/>
      <c r="J1156"/>
      <c r="K1156"/>
      <c r="L1156" s="1"/>
    </row>
    <row r="1157" spans="6:12">
      <c r="F1157" s="1"/>
      <c r="G1157"/>
      <c r="H1157"/>
      <c r="I1157" s="1"/>
      <c r="J1157"/>
      <c r="K1157"/>
      <c r="L1157" s="1"/>
    </row>
    <row r="1158" spans="6:12">
      <c r="F1158" s="1"/>
      <c r="G1158"/>
      <c r="H1158"/>
      <c r="I1158" s="1"/>
      <c r="J1158"/>
      <c r="K1158"/>
      <c r="L1158" s="1"/>
    </row>
    <row r="1159" spans="6:12">
      <c r="F1159" s="1"/>
      <c r="G1159"/>
      <c r="H1159"/>
      <c r="I1159" s="1"/>
      <c r="J1159"/>
      <c r="K1159"/>
      <c r="L1159" s="1"/>
    </row>
    <row r="1160" spans="6:12">
      <c r="F1160" s="1"/>
      <c r="G1160"/>
      <c r="H1160"/>
      <c r="I1160" s="1"/>
      <c r="J1160"/>
      <c r="K1160"/>
      <c r="L1160" s="1"/>
    </row>
    <row r="1161" spans="6:12">
      <c r="F1161" s="1"/>
      <c r="G1161"/>
      <c r="H1161"/>
      <c r="I1161" s="1"/>
      <c r="J1161"/>
      <c r="K1161"/>
      <c r="L1161" s="1"/>
    </row>
    <row r="1162" spans="6:12">
      <c r="F1162" s="1"/>
      <c r="G1162"/>
      <c r="H1162"/>
      <c r="I1162" s="1"/>
      <c r="J1162"/>
      <c r="K1162"/>
      <c r="L1162" s="1"/>
    </row>
    <row r="1163" spans="6:12">
      <c r="F1163" s="1"/>
      <c r="G1163"/>
      <c r="H1163"/>
      <c r="I1163" s="1"/>
      <c r="J1163"/>
      <c r="K1163"/>
      <c r="L1163" s="1"/>
    </row>
    <row r="1164" spans="6:12">
      <c r="F1164" s="1"/>
      <c r="G1164"/>
      <c r="H1164"/>
      <c r="I1164" s="1"/>
      <c r="J1164"/>
      <c r="K1164"/>
      <c r="L1164" s="1"/>
    </row>
    <row r="1165" spans="6:12">
      <c r="F1165" s="1"/>
      <c r="G1165"/>
      <c r="H1165"/>
      <c r="I1165" s="1"/>
      <c r="J1165"/>
      <c r="K1165"/>
      <c r="L1165" s="1"/>
    </row>
    <row r="1166" spans="6:12">
      <c r="F1166" s="1"/>
      <c r="G1166"/>
      <c r="H1166"/>
      <c r="I1166" s="1"/>
      <c r="J1166"/>
      <c r="K1166"/>
      <c r="L1166" s="1"/>
    </row>
    <row r="1167" spans="6:12">
      <c r="F1167" s="1"/>
      <c r="G1167"/>
      <c r="H1167"/>
      <c r="I1167" s="1"/>
      <c r="J1167"/>
      <c r="K1167"/>
      <c r="L1167" s="1"/>
    </row>
    <row r="1168" spans="6:12">
      <c r="F1168" s="1"/>
      <c r="G1168"/>
      <c r="H1168"/>
      <c r="I1168" s="1"/>
      <c r="J1168"/>
      <c r="K1168"/>
      <c r="L1168" s="1"/>
    </row>
    <row r="1169" spans="6:12">
      <c r="F1169" s="1"/>
      <c r="G1169"/>
      <c r="H1169"/>
      <c r="I1169" s="1"/>
      <c r="J1169"/>
      <c r="K1169"/>
      <c r="L1169" s="1"/>
    </row>
    <row r="1170" spans="6:12">
      <c r="F1170" s="1"/>
      <c r="G1170"/>
      <c r="H1170"/>
      <c r="I1170" s="1"/>
      <c r="J1170"/>
      <c r="K1170"/>
      <c r="L1170" s="1"/>
    </row>
    <row r="1171" spans="6:12">
      <c r="F1171" s="1"/>
      <c r="G1171"/>
      <c r="H1171"/>
      <c r="I1171" s="1"/>
      <c r="J1171"/>
      <c r="K1171"/>
      <c r="L1171" s="1"/>
    </row>
    <row r="1172" spans="6:12">
      <c r="F1172" s="1"/>
      <c r="G1172"/>
      <c r="H1172"/>
      <c r="I1172" s="1"/>
      <c r="J1172"/>
      <c r="K1172"/>
      <c r="L1172" s="1"/>
    </row>
    <row r="1173" spans="6:12">
      <c r="F1173" s="1"/>
      <c r="G1173"/>
      <c r="H1173"/>
      <c r="I1173" s="1"/>
      <c r="J1173"/>
      <c r="K1173"/>
      <c r="L1173" s="1"/>
    </row>
    <row r="1174" spans="6:12">
      <c r="F1174" s="1"/>
      <c r="G1174"/>
      <c r="H1174"/>
      <c r="I1174" s="1"/>
      <c r="J1174"/>
      <c r="K1174"/>
      <c r="L1174" s="1"/>
    </row>
    <row r="1175" spans="6:12">
      <c r="F1175" s="1"/>
      <c r="G1175"/>
      <c r="H1175"/>
      <c r="I1175" s="1"/>
      <c r="J1175"/>
      <c r="K1175"/>
      <c r="L1175" s="1"/>
    </row>
    <row r="1176" spans="6:12">
      <c r="F1176" s="1"/>
      <c r="G1176"/>
      <c r="H1176"/>
      <c r="I1176" s="1"/>
      <c r="J1176"/>
      <c r="K1176"/>
      <c r="L1176" s="1"/>
    </row>
    <row r="1177" spans="6:12">
      <c r="F1177" s="1"/>
      <c r="G1177"/>
      <c r="H1177"/>
      <c r="I1177" s="1"/>
      <c r="J1177"/>
      <c r="K1177"/>
      <c r="L1177" s="1"/>
    </row>
    <row r="1178" spans="6:12">
      <c r="F1178" s="1"/>
      <c r="G1178"/>
      <c r="H1178"/>
      <c r="I1178" s="1"/>
      <c r="J1178"/>
      <c r="K1178"/>
      <c r="L1178" s="1"/>
    </row>
    <row r="1179" spans="6:12">
      <c r="F1179" s="1"/>
      <c r="G1179"/>
      <c r="H1179"/>
      <c r="I1179" s="1"/>
      <c r="J1179"/>
      <c r="K1179"/>
      <c r="L1179" s="1"/>
    </row>
    <row r="1180" spans="6:12">
      <c r="F1180" s="1"/>
      <c r="G1180"/>
      <c r="H1180"/>
      <c r="I1180" s="1"/>
      <c r="J1180"/>
      <c r="K1180"/>
      <c r="L1180" s="1"/>
    </row>
    <row r="1181" spans="6:12">
      <c r="F1181" s="1"/>
      <c r="G1181"/>
      <c r="H1181"/>
      <c r="I1181" s="1"/>
      <c r="J1181"/>
      <c r="K1181"/>
      <c r="L1181" s="1"/>
    </row>
    <row r="1182" spans="6:12">
      <c r="F1182" s="1"/>
      <c r="G1182"/>
      <c r="H1182"/>
      <c r="I1182" s="1"/>
      <c r="J1182"/>
      <c r="K1182"/>
      <c r="L1182" s="1"/>
    </row>
    <row r="1183" spans="6:12">
      <c r="F1183" s="1"/>
      <c r="G1183"/>
      <c r="H1183"/>
      <c r="I1183" s="1"/>
      <c r="J1183"/>
      <c r="K1183"/>
      <c r="L1183" s="1"/>
    </row>
    <row r="1184" spans="6:12">
      <c r="F1184" s="1"/>
      <c r="G1184"/>
      <c r="H1184"/>
      <c r="I1184" s="1"/>
      <c r="J1184"/>
      <c r="K1184"/>
      <c r="L1184" s="1"/>
    </row>
    <row r="1185" spans="6:12">
      <c r="F1185" s="1"/>
      <c r="G1185"/>
      <c r="H1185"/>
      <c r="I1185" s="1"/>
      <c r="J1185"/>
      <c r="K1185"/>
      <c r="L1185" s="1"/>
    </row>
    <row r="1186" spans="6:12">
      <c r="F1186" s="1"/>
      <c r="G1186"/>
      <c r="H1186"/>
      <c r="I1186" s="1"/>
      <c r="J1186"/>
      <c r="K1186"/>
      <c r="L1186" s="1"/>
    </row>
    <row r="1187" spans="6:12">
      <c r="F1187" s="1"/>
      <c r="G1187"/>
      <c r="H1187"/>
      <c r="I1187" s="1"/>
      <c r="J1187"/>
      <c r="K1187"/>
      <c r="L1187" s="1"/>
    </row>
    <row r="1188" spans="6:12">
      <c r="F1188" s="1"/>
      <c r="G1188"/>
      <c r="H1188"/>
      <c r="I1188" s="1"/>
      <c r="J1188"/>
      <c r="K1188"/>
      <c r="L1188" s="1"/>
    </row>
    <row r="1189" spans="6:12">
      <c r="F1189" s="1"/>
      <c r="G1189"/>
      <c r="H1189"/>
      <c r="I1189" s="1"/>
      <c r="J1189"/>
      <c r="K1189"/>
      <c r="L1189" s="1"/>
    </row>
    <row r="1190" spans="6:12">
      <c r="F1190" s="1"/>
      <c r="G1190"/>
      <c r="H1190"/>
      <c r="I1190" s="1"/>
      <c r="J1190"/>
      <c r="K1190"/>
      <c r="L1190" s="1"/>
    </row>
    <row r="1191" spans="6:12">
      <c r="F1191" s="1"/>
      <c r="G1191"/>
      <c r="H1191"/>
      <c r="I1191" s="1"/>
      <c r="J1191"/>
      <c r="K1191"/>
      <c r="L1191" s="1"/>
    </row>
    <row r="1192" spans="6:12">
      <c r="F1192" s="1"/>
      <c r="G1192"/>
      <c r="H1192"/>
      <c r="I1192" s="1"/>
      <c r="J1192"/>
      <c r="K1192"/>
      <c r="L1192" s="1"/>
    </row>
    <row r="1193" spans="6:12">
      <c r="F1193" s="1"/>
      <c r="G1193"/>
      <c r="H1193"/>
      <c r="I1193" s="1"/>
      <c r="J1193"/>
      <c r="K1193"/>
      <c r="L1193" s="1"/>
    </row>
    <row r="1194" spans="6:12">
      <c r="F1194" s="1"/>
      <c r="G1194"/>
      <c r="H1194"/>
      <c r="I1194" s="1"/>
      <c r="J1194"/>
      <c r="K1194"/>
      <c r="L1194" s="1"/>
    </row>
    <row r="1195" spans="6:12">
      <c r="F1195" s="1"/>
      <c r="G1195"/>
      <c r="H1195"/>
      <c r="I1195" s="1"/>
      <c r="J1195"/>
      <c r="K1195"/>
      <c r="L1195" s="1"/>
    </row>
    <row r="1196" spans="6:12">
      <c r="F1196" s="1"/>
      <c r="G1196"/>
      <c r="H1196"/>
      <c r="I1196" s="1"/>
      <c r="J1196"/>
      <c r="K1196"/>
      <c r="L1196" s="1"/>
    </row>
    <row r="1197" spans="6:12">
      <c r="F1197" s="1"/>
      <c r="G1197"/>
      <c r="H1197"/>
      <c r="I1197" s="1"/>
      <c r="J1197"/>
      <c r="K1197"/>
      <c r="L1197" s="1"/>
    </row>
    <row r="1198" spans="6:12">
      <c r="F1198" s="1"/>
      <c r="G1198"/>
      <c r="H1198"/>
      <c r="I1198" s="1"/>
      <c r="J1198"/>
      <c r="K1198"/>
      <c r="L1198" s="1"/>
    </row>
    <row r="1199" spans="6:12">
      <c r="F1199" s="1"/>
      <c r="G1199"/>
      <c r="H1199"/>
      <c r="I1199" s="1"/>
      <c r="J1199"/>
      <c r="K1199"/>
      <c r="L1199" s="1"/>
    </row>
    <row r="1200" spans="6:12">
      <c r="F1200" s="1"/>
      <c r="G1200"/>
      <c r="H1200"/>
      <c r="I1200" s="1"/>
      <c r="J1200"/>
      <c r="K1200"/>
      <c r="L1200" s="1"/>
    </row>
    <row r="1201" spans="6:12">
      <c r="F1201" s="1"/>
      <c r="G1201"/>
      <c r="H1201"/>
      <c r="I1201" s="1"/>
      <c r="J1201"/>
      <c r="K1201"/>
      <c r="L1201" s="1"/>
    </row>
    <row r="1202" spans="6:12">
      <c r="F1202" s="1"/>
      <c r="G1202"/>
      <c r="H1202"/>
      <c r="I1202" s="1"/>
      <c r="J1202"/>
      <c r="K1202"/>
      <c r="L1202" s="1"/>
    </row>
    <row r="1203" spans="6:12">
      <c r="F1203" s="1"/>
      <c r="G1203"/>
      <c r="H1203"/>
      <c r="I1203" s="1"/>
      <c r="J1203"/>
      <c r="K1203"/>
      <c r="L1203" s="1"/>
    </row>
    <row r="1204" spans="6:12">
      <c r="F1204" s="1"/>
      <c r="G1204"/>
      <c r="H1204"/>
      <c r="I1204" s="1"/>
      <c r="J1204"/>
      <c r="K1204"/>
      <c r="L1204" s="1"/>
    </row>
    <row r="1205" spans="6:12">
      <c r="F1205" s="1"/>
      <c r="G1205"/>
      <c r="H1205"/>
      <c r="I1205" s="1"/>
      <c r="J1205"/>
      <c r="K1205"/>
      <c r="L1205" s="1"/>
    </row>
    <row r="1206" spans="6:12">
      <c r="F1206" s="1"/>
      <c r="G1206"/>
      <c r="H1206"/>
      <c r="I1206" s="1"/>
      <c r="J1206"/>
      <c r="K1206"/>
      <c r="L1206" s="1"/>
    </row>
    <row r="1207" spans="6:12">
      <c r="F1207" s="1"/>
      <c r="G1207"/>
      <c r="H1207"/>
      <c r="I1207" s="1"/>
      <c r="J1207"/>
      <c r="K1207"/>
      <c r="L1207" s="1"/>
    </row>
    <row r="1208" spans="6:12">
      <c r="F1208" s="1"/>
      <c r="G1208"/>
      <c r="H1208"/>
      <c r="I1208" s="1"/>
      <c r="J1208"/>
      <c r="K1208"/>
      <c r="L1208" s="1"/>
    </row>
    <row r="1209" spans="6:12">
      <c r="F1209" s="1"/>
      <c r="G1209"/>
      <c r="H1209"/>
      <c r="I1209" s="1"/>
      <c r="J1209"/>
      <c r="K1209"/>
      <c r="L1209" s="1"/>
    </row>
    <row r="1210" spans="6:12">
      <c r="F1210" s="1"/>
      <c r="G1210"/>
      <c r="H1210"/>
      <c r="I1210" s="1"/>
      <c r="J1210"/>
      <c r="K1210"/>
      <c r="L1210" s="1"/>
    </row>
    <row r="1211" spans="6:12">
      <c r="F1211" s="1"/>
      <c r="G1211"/>
      <c r="H1211"/>
      <c r="I1211" s="1"/>
      <c r="J1211"/>
      <c r="K1211"/>
      <c r="L1211" s="1"/>
    </row>
    <row r="1212" spans="6:12">
      <c r="F1212" s="1"/>
      <c r="G1212"/>
      <c r="H1212"/>
      <c r="I1212" s="1"/>
      <c r="J1212"/>
      <c r="K1212"/>
      <c r="L1212" s="1"/>
    </row>
    <row r="1213" spans="6:12">
      <c r="F1213" s="1"/>
      <c r="G1213"/>
      <c r="H1213"/>
      <c r="I1213" s="1"/>
      <c r="J1213"/>
      <c r="K1213"/>
      <c r="L1213" s="1"/>
    </row>
    <row r="1214" spans="6:12">
      <c r="F1214" s="1"/>
      <c r="G1214"/>
      <c r="H1214"/>
      <c r="I1214" s="1"/>
      <c r="J1214"/>
      <c r="K1214"/>
      <c r="L1214" s="1"/>
    </row>
    <row r="1215" spans="6:12">
      <c r="F1215" s="1"/>
      <c r="G1215"/>
      <c r="H1215"/>
      <c r="I1215" s="1"/>
      <c r="J1215"/>
      <c r="K1215"/>
      <c r="L1215" s="1"/>
    </row>
    <row r="1216" spans="6:12">
      <c r="F1216" s="1"/>
      <c r="G1216"/>
      <c r="H1216"/>
      <c r="I1216" s="1"/>
      <c r="J1216"/>
      <c r="K1216"/>
      <c r="L1216" s="1"/>
    </row>
    <row r="1217" spans="6:12">
      <c r="F1217" s="1"/>
      <c r="G1217"/>
      <c r="H1217"/>
      <c r="I1217" s="1"/>
      <c r="J1217"/>
      <c r="K1217"/>
      <c r="L1217" s="1"/>
    </row>
    <row r="1218" spans="6:12">
      <c r="F1218" s="1"/>
      <c r="G1218"/>
      <c r="H1218"/>
      <c r="I1218" s="1"/>
      <c r="J1218"/>
      <c r="K1218"/>
      <c r="L1218" s="1"/>
    </row>
    <row r="1219" spans="6:12">
      <c r="F1219" s="1"/>
      <c r="G1219"/>
      <c r="H1219"/>
      <c r="I1219" s="1"/>
      <c r="J1219"/>
      <c r="K1219"/>
      <c r="L1219" s="1"/>
    </row>
    <row r="1220" spans="6:12">
      <c r="F1220" s="1"/>
      <c r="G1220"/>
      <c r="H1220"/>
      <c r="I1220" s="1"/>
      <c r="J1220"/>
      <c r="K1220"/>
      <c r="L1220" s="1"/>
    </row>
    <row r="1221" spans="6:12">
      <c r="F1221" s="1"/>
      <c r="G1221"/>
      <c r="H1221"/>
      <c r="I1221" s="1"/>
      <c r="J1221"/>
      <c r="K1221"/>
      <c r="L1221" s="1"/>
    </row>
    <row r="1222" spans="6:12">
      <c r="F1222" s="1"/>
      <c r="G1222"/>
      <c r="H1222"/>
      <c r="I1222" s="1"/>
      <c r="J1222"/>
      <c r="K1222"/>
      <c r="L1222" s="1"/>
    </row>
    <row r="1223" spans="6:12">
      <c r="F1223" s="1"/>
      <c r="G1223"/>
      <c r="H1223"/>
      <c r="I1223" s="1"/>
      <c r="J1223"/>
      <c r="K1223"/>
      <c r="L1223" s="1"/>
    </row>
    <row r="1224" spans="6:12">
      <c r="F1224" s="1"/>
      <c r="G1224"/>
      <c r="H1224"/>
      <c r="I1224" s="1"/>
      <c r="J1224"/>
      <c r="K1224"/>
      <c r="L1224" s="1"/>
    </row>
    <row r="1225" spans="6:12">
      <c r="F1225" s="1"/>
      <c r="G1225"/>
      <c r="H1225"/>
      <c r="I1225" s="1"/>
      <c r="J1225"/>
      <c r="K1225"/>
      <c r="L1225" s="1"/>
    </row>
    <row r="1226" spans="6:12">
      <c r="F1226" s="1"/>
      <c r="G1226"/>
      <c r="H1226"/>
      <c r="I1226" s="1"/>
      <c r="J1226"/>
      <c r="K1226"/>
      <c r="L1226" s="1"/>
    </row>
    <row r="1227" spans="6:12">
      <c r="F1227" s="1"/>
      <c r="G1227"/>
      <c r="H1227"/>
      <c r="I1227" s="1"/>
      <c r="J1227"/>
      <c r="K1227"/>
      <c r="L1227" s="1"/>
    </row>
    <row r="1228" spans="6:12">
      <c r="F1228" s="1"/>
      <c r="G1228"/>
      <c r="H1228"/>
      <c r="I1228" s="1"/>
      <c r="J1228"/>
      <c r="K1228"/>
      <c r="L1228" s="1"/>
    </row>
    <row r="1229" spans="6:12">
      <c r="F1229" s="1"/>
      <c r="G1229"/>
      <c r="H1229"/>
      <c r="I1229" s="1"/>
      <c r="J1229"/>
      <c r="K1229"/>
      <c r="L1229" s="1"/>
    </row>
    <row r="1230" spans="6:12">
      <c r="F1230" s="1"/>
      <c r="G1230"/>
      <c r="H1230"/>
      <c r="I1230" s="1"/>
      <c r="J1230"/>
      <c r="K1230"/>
      <c r="L1230" s="1"/>
    </row>
    <row r="1231" spans="6:12">
      <c r="F1231" s="1"/>
      <c r="G1231"/>
      <c r="H1231"/>
      <c r="I1231" s="1"/>
      <c r="J1231"/>
      <c r="K1231"/>
      <c r="L1231" s="1"/>
    </row>
    <row r="1232" spans="6:12">
      <c r="F1232" s="1"/>
      <c r="G1232"/>
      <c r="H1232"/>
      <c r="I1232" s="1"/>
      <c r="J1232"/>
      <c r="K1232"/>
      <c r="L1232" s="1"/>
    </row>
    <row r="1233" spans="6:12">
      <c r="F1233" s="1"/>
      <c r="G1233"/>
      <c r="H1233"/>
      <c r="I1233" s="1"/>
      <c r="J1233"/>
      <c r="K1233"/>
      <c r="L1233" s="1"/>
    </row>
    <row r="1234" spans="6:12">
      <c r="F1234" s="1"/>
      <c r="G1234"/>
      <c r="H1234"/>
      <c r="I1234" s="1"/>
      <c r="J1234"/>
      <c r="K1234"/>
      <c r="L1234" s="1"/>
    </row>
    <row r="1235" spans="6:12">
      <c r="F1235" s="1"/>
      <c r="G1235"/>
      <c r="H1235"/>
      <c r="I1235" s="1"/>
      <c r="J1235"/>
      <c r="K1235"/>
      <c r="L1235" s="1"/>
    </row>
    <row r="1236" spans="6:12">
      <c r="F1236" s="1"/>
      <c r="G1236"/>
      <c r="H1236"/>
      <c r="I1236" s="1"/>
      <c r="J1236"/>
      <c r="K1236"/>
      <c r="L1236" s="1"/>
    </row>
    <row r="1237" spans="6:12">
      <c r="F1237" s="1"/>
      <c r="G1237"/>
      <c r="H1237"/>
      <c r="I1237" s="1"/>
      <c r="J1237"/>
      <c r="K1237"/>
      <c r="L1237" s="1"/>
    </row>
    <row r="1238" spans="6:12">
      <c r="F1238" s="1"/>
      <c r="G1238"/>
      <c r="H1238"/>
      <c r="I1238" s="1"/>
      <c r="J1238"/>
      <c r="K1238"/>
      <c r="L1238" s="1"/>
    </row>
    <row r="1239" spans="6:12">
      <c r="F1239" s="1"/>
      <c r="G1239"/>
      <c r="H1239"/>
      <c r="I1239" s="1"/>
      <c r="J1239"/>
      <c r="K1239"/>
      <c r="L1239" s="1"/>
    </row>
    <row r="1240" spans="6:12">
      <c r="F1240" s="1"/>
      <c r="G1240"/>
      <c r="H1240"/>
      <c r="I1240" s="1"/>
      <c r="J1240"/>
      <c r="K1240"/>
      <c r="L1240" s="1"/>
    </row>
    <row r="1241" spans="6:12">
      <c r="F1241" s="1"/>
      <c r="G1241"/>
      <c r="H1241"/>
      <c r="I1241" s="1"/>
      <c r="J1241"/>
      <c r="K1241"/>
      <c r="L1241" s="1"/>
    </row>
    <row r="1242" spans="6:12">
      <c r="F1242" s="1"/>
      <c r="G1242"/>
      <c r="H1242"/>
      <c r="I1242" s="1"/>
      <c r="J1242"/>
      <c r="K1242"/>
      <c r="L1242" s="1"/>
    </row>
    <row r="1243" spans="6:12">
      <c r="F1243" s="1"/>
      <c r="G1243"/>
      <c r="H1243"/>
      <c r="I1243" s="1"/>
      <c r="J1243"/>
      <c r="K1243"/>
      <c r="L1243" s="1"/>
    </row>
    <row r="1244" spans="6:12">
      <c r="F1244" s="1"/>
      <c r="G1244"/>
      <c r="H1244"/>
      <c r="I1244" s="1"/>
      <c r="J1244"/>
      <c r="K1244"/>
      <c r="L1244" s="1"/>
    </row>
    <row r="1245" spans="6:12">
      <c r="F1245" s="1"/>
      <c r="G1245"/>
      <c r="H1245"/>
      <c r="I1245" s="1"/>
      <c r="J1245"/>
      <c r="K1245"/>
      <c r="L1245" s="1"/>
    </row>
    <row r="1246" spans="6:12">
      <c r="F1246" s="1"/>
      <c r="G1246"/>
      <c r="H1246"/>
      <c r="I1246" s="1"/>
      <c r="J1246"/>
      <c r="K1246"/>
      <c r="L1246" s="1"/>
    </row>
    <row r="1247" spans="6:12">
      <c r="F1247" s="1"/>
      <c r="G1247"/>
      <c r="H1247"/>
      <c r="I1247" s="1"/>
      <c r="J1247"/>
      <c r="K1247"/>
      <c r="L1247" s="1"/>
    </row>
    <row r="1248" spans="6:12">
      <c r="F1248" s="1"/>
      <c r="G1248"/>
      <c r="H1248"/>
      <c r="I1248" s="1"/>
      <c r="J1248"/>
      <c r="K1248"/>
      <c r="L1248" s="1"/>
    </row>
    <row r="1249" spans="6:12">
      <c r="F1249" s="1"/>
      <c r="G1249"/>
      <c r="H1249"/>
      <c r="I1249" s="1"/>
      <c r="J1249"/>
      <c r="K1249"/>
      <c r="L1249" s="1"/>
    </row>
    <row r="1250" spans="6:12">
      <c r="F1250" s="1"/>
      <c r="G1250"/>
      <c r="H1250"/>
      <c r="I1250" s="1"/>
      <c r="J1250"/>
      <c r="K1250"/>
      <c r="L1250" s="1"/>
    </row>
    <row r="1251" spans="6:12">
      <c r="F1251" s="1"/>
      <c r="G1251"/>
      <c r="H1251"/>
      <c r="I1251" s="1"/>
      <c r="J1251"/>
      <c r="K1251"/>
      <c r="L1251" s="1"/>
    </row>
    <row r="1252" spans="6:12">
      <c r="F1252" s="1"/>
      <c r="G1252"/>
      <c r="H1252"/>
      <c r="I1252" s="1"/>
      <c r="J1252"/>
      <c r="K1252"/>
      <c r="L1252" s="1"/>
    </row>
    <row r="1253" spans="6:12">
      <c r="F1253" s="1"/>
      <c r="G1253"/>
      <c r="H1253"/>
      <c r="I1253" s="1"/>
      <c r="J1253"/>
      <c r="K1253"/>
      <c r="L1253" s="1"/>
    </row>
    <row r="1254" spans="6:12">
      <c r="F1254" s="1"/>
      <c r="G1254"/>
      <c r="H1254"/>
      <c r="I1254" s="1"/>
      <c r="J1254"/>
      <c r="K1254"/>
      <c r="L1254" s="1"/>
    </row>
    <row r="1255" spans="6:12">
      <c r="F1255" s="1"/>
      <c r="G1255"/>
      <c r="H1255"/>
      <c r="I1255" s="1"/>
      <c r="J1255"/>
      <c r="K1255"/>
      <c r="L1255" s="1"/>
    </row>
    <row r="1256" spans="6:12">
      <c r="F1256" s="1"/>
      <c r="G1256"/>
      <c r="H1256"/>
      <c r="I1256" s="1"/>
      <c r="J1256"/>
      <c r="K1256"/>
      <c r="L1256" s="1"/>
    </row>
    <row r="1257" spans="6:12">
      <c r="F1257" s="1"/>
      <c r="G1257"/>
      <c r="H1257"/>
      <c r="I1257" s="1"/>
      <c r="J1257"/>
      <c r="K1257"/>
      <c r="L1257" s="1"/>
    </row>
    <row r="1258" spans="6:12">
      <c r="F1258" s="1"/>
      <c r="G1258"/>
      <c r="H1258"/>
      <c r="I1258" s="1"/>
      <c r="J1258"/>
      <c r="K1258"/>
      <c r="L1258" s="1"/>
    </row>
    <row r="1259" spans="6:12">
      <c r="F1259" s="1"/>
      <c r="G1259"/>
      <c r="H1259"/>
      <c r="I1259" s="1"/>
      <c r="J1259"/>
      <c r="K1259"/>
      <c r="L1259" s="1"/>
    </row>
    <row r="1260" spans="6:12">
      <c r="F1260" s="1"/>
      <c r="G1260"/>
      <c r="H1260"/>
      <c r="I1260" s="1"/>
      <c r="J1260"/>
      <c r="K1260"/>
      <c r="L1260" s="1"/>
    </row>
    <row r="1261" spans="6:12">
      <c r="F1261" s="1"/>
      <c r="G1261"/>
      <c r="H1261"/>
      <c r="I1261" s="1"/>
      <c r="J1261"/>
      <c r="K1261"/>
      <c r="L1261" s="1"/>
    </row>
    <row r="1262" spans="6:12">
      <c r="F1262" s="1"/>
      <c r="G1262"/>
      <c r="H1262"/>
      <c r="I1262" s="1"/>
      <c r="J1262"/>
      <c r="K1262"/>
      <c r="L1262" s="1"/>
    </row>
    <row r="1263" spans="6:12">
      <c r="F1263" s="1"/>
      <c r="G1263"/>
      <c r="H1263"/>
      <c r="I1263" s="1"/>
      <c r="J1263"/>
      <c r="K1263"/>
      <c r="L1263" s="1"/>
    </row>
    <row r="1264" spans="6:12">
      <c r="F1264" s="1"/>
      <c r="G1264"/>
      <c r="H1264"/>
      <c r="I1264" s="1"/>
      <c r="J1264"/>
      <c r="K1264"/>
      <c r="L1264" s="1"/>
    </row>
    <row r="1265" spans="6:12">
      <c r="F1265" s="1"/>
      <c r="G1265"/>
      <c r="H1265"/>
      <c r="I1265" s="1"/>
      <c r="J1265"/>
      <c r="K1265"/>
      <c r="L1265" s="1"/>
    </row>
    <row r="1266" spans="6:12">
      <c r="F1266" s="1"/>
      <c r="G1266"/>
      <c r="H1266"/>
      <c r="I1266" s="1"/>
      <c r="J1266"/>
      <c r="K1266"/>
      <c r="L1266" s="1"/>
    </row>
    <row r="1267" spans="6:12">
      <c r="F1267" s="1"/>
      <c r="G1267"/>
      <c r="H1267"/>
      <c r="I1267" s="1"/>
      <c r="J1267"/>
      <c r="K1267"/>
      <c r="L1267" s="1"/>
    </row>
    <row r="1268" spans="6:12">
      <c r="F1268" s="1"/>
      <c r="G1268"/>
      <c r="H1268"/>
      <c r="I1268" s="1"/>
      <c r="J1268"/>
      <c r="K1268"/>
      <c r="L1268" s="1"/>
    </row>
    <row r="1269" spans="6:12">
      <c r="F1269" s="1"/>
      <c r="G1269"/>
      <c r="H1269"/>
      <c r="I1269" s="1"/>
      <c r="J1269"/>
      <c r="K1269"/>
      <c r="L1269" s="1"/>
    </row>
    <row r="1270" spans="6:12">
      <c r="F1270" s="1"/>
      <c r="G1270"/>
      <c r="H1270"/>
      <c r="I1270" s="1"/>
      <c r="J1270"/>
      <c r="K1270"/>
      <c r="L1270" s="1"/>
    </row>
    <row r="1271" spans="6:12">
      <c r="F1271" s="1"/>
      <c r="G1271"/>
      <c r="H1271"/>
      <c r="I1271" s="1"/>
      <c r="J1271"/>
      <c r="K1271"/>
      <c r="L1271" s="1"/>
    </row>
    <row r="1272" spans="6:12">
      <c r="F1272" s="1"/>
      <c r="G1272"/>
      <c r="H1272"/>
      <c r="I1272" s="1"/>
      <c r="J1272"/>
      <c r="K1272"/>
      <c r="L1272" s="1"/>
    </row>
    <row r="1273" spans="6:12">
      <c r="F1273" s="1"/>
      <c r="G1273"/>
      <c r="H1273"/>
      <c r="I1273" s="1"/>
      <c r="J1273"/>
      <c r="K1273"/>
      <c r="L1273" s="1"/>
    </row>
    <row r="1274" spans="6:12">
      <c r="F1274" s="1"/>
      <c r="G1274"/>
      <c r="H1274"/>
      <c r="I1274" s="1"/>
      <c r="J1274"/>
      <c r="K1274"/>
      <c r="L1274" s="1"/>
    </row>
    <row r="1275" spans="6:12">
      <c r="F1275" s="1"/>
      <c r="G1275"/>
      <c r="H1275"/>
      <c r="I1275" s="1"/>
      <c r="J1275"/>
      <c r="K1275"/>
      <c r="L1275" s="1"/>
    </row>
    <row r="1276" spans="6:12">
      <c r="F1276" s="1"/>
      <c r="G1276"/>
      <c r="H1276"/>
      <c r="I1276" s="1"/>
      <c r="J1276"/>
      <c r="K1276"/>
      <c r="L1276" s="1"/>
    </row>
    <row r="1277" spans="6:12">
      <c r="F1277" s="1"/>
      <c r="G1277"/>
      <c r="H1277"/>
      <c r="I1277" s="1"/>
      <c r="J1277"/>
      <c r="K1277"/>
      <c r="L1277" s="1"/>
    </row>
    <row r="1278" spans="6:12">
      <c r="F1278" s="1"/>
      <c r="G1278"/>
      <c r="H1278"/>
      <c r="I1278" s="1"/>
      <c r="J1278"/>
      <c r="K1278"/>
      <c r="L1278" s="1"/>
    </row>
    <row r="1279" spans="6:12">
      <c r="F1279" s="1"/>
      <c r="G1279"/>
      <c r="H1279"/>
      <c r="I1279" s="1"/>
      <c r="J1279"/>
      <c r="K1279"/>
      <c r="L1279" s="1"/>
    </row>
    <row r="1280" spans="6:12">
      <c r="F1280" s="1"/>
      <c r="G1280"/>
      <c r="H1280"/>
      <c r="I1280" s="1"/>
      <c r="J1280"/>
      <c r="K1280"/>
      <c r="L1280" s="1"/>
    </row>
    <row r="1281" spans="6:12">
      <c r="F1281" s="1"/>
      <c r="G1281"/>
      <c r="H1281"/>
      <c r="I1281" s="1"/>
      <c r="J1281"/>
      <c r="K1281"/>
      <c r="L1281" s="1"/>
    </row>
    <row r="1282" spans="6:12">
      <c r="F1282" s="1"/>
      <c r="G1282"/>
      <c r="H1282"/>
      <c r="I1282" s="1"/>
      <c r="J1282"/>
      <c r="K1282"/>
      <c r="L1282" s="1"/>
    </row>
    <row r="1283" spans="6:12">
      <c r="F1283" s="1"/>
      <c r="G1283"/>
      <c r="H1283"/>
      <c r="I1283" s="1"/>
      <c r="J1283"/>
      <c r="K1283"/>
      <c r="L1283" s="1"/>
    </row>
    <row r="1284" spans="6:12">
      <c r="F1284" s="1"/>
      <c r="G1284"/>
      <c r="H1284"/>
      <c r="I1284" s="1"/>
      <c r="J1284"/>
      <c r="K1284"/>
      <c r="L1284" s="1"/>
    </row>
    <row r="1285" spans="6:12">
      <c r="F1285" s="1"/>
      <c r="G1285"/>
      <c r="H1285"/>
      <c r="I1285" s="1"/>
      <c r="J1285"/>
      <c r="K1285"/>
      <c r="L1285" s="1"/>
    </row>
    <row r="1286" spans="6:12">
      <c r="F1286" s="1"/>
      <c r="G1286"/>
      <c r="H1286"/>
      <c r="I1286" s="1"/>
      <c r="J1286"/>
      <c r="K1286"/>
      <c r="L1286" s="1"/>
    </row>
    <row r="1287" spans="6:12">
      <c r="F1287" s="1"/>
      <c r="G1287"/>
      <c r="H1287"/>
      <c r="I1287" s="1"/>
      <c r="J1287"/>
      <c r="K1287"/>
      <c r="L1287" s="1"/>
    </row>
    <row r="1288" spans="6:12">
      <c r="F1288" s="1"/>
      <c r="G1288"/>
      <c r="H1288"/>
      <c r="I1288" s="1"/>
      <c r="J1288"/>
      <c r="K1288"/>
      <c r="L1288" s="1"/>
    </row>
    <row r="1289" spans="6:12">
      <c r="F1289" s="1"/>
      <c r="G1289"/>
      <c r="H1289"/>
      <c r="I1289" s="1"/>
      <c r="J1289"/>
      <c r="K1289"/>
      <c r="L1289" s="1"/>
    </row>
    <row r="1290" spans="6:12">
      <c r="F1290" s="1"/>
      <c r="G1290"/>
      <c r="H1290"/>
      <c r="I1290" s="1"/>
      <c r="J1290"/>
      <c r="K1290"/>
      <c r="L1290" s="1"/>
    </row>
    <row r="1291" spans="6:12">
      <c r="F1291" s="1"/>
      <c r="G1291"/>
      <c r="H1291"/>
      <c r="I1291" s="1"/>
      <c r="J1291"/>
      <c r="K1291"/>
      <c r="L1291" s="1"/>
    </row>
    <row r="1292" spans="6:12">
      <c r="F1292" s="1"/>
      <c r="G1292"/>
      <c r="H1292"/>
      <c r="I1292" s="1"/>
      <c r="J1292"/>
      <c r="K1292"/>
      <c r="L1292" s="1"/>
    </row>
    <row r="1293" spans="6:12">
      <c r="F1293" s="1"/>
      <c r="G1293"/>
      <c r="H1293"/>
      <c r="I1293" s="1"/>
      <c r="J1293"/>
      <c r="K1293"/>
      <c r="L1293" s="1"/>
    </row>
    <row r="1294" spans="6:12">
      <c r="F1294" s="1"/>
      <c r="G1294"/>
      <c r="H1294"/>
      <c r="I1294" s="1"/>
      <c r="J1294"/>
      <c r="K1294"/>
      <c r="L1294" s="1"/>
    </row>
    <row r="1295" spans="6:12">
      <c r="F1295" s="1"/>
      <c r="G1295"/>
      <c r="H1295"/>
      <c r="I1295" s="1"/>
      <c r="J1295"/>
      <c r="K1295"/>
      <c r="L1295" s="1"/>
    </row>
    <row r="1296" spans="6:12">
      <c r="F1296" s="1"/>
      <c r="G1296"/>
      <c r="H1296"/>
      <c r="I1296" s="1"/>
      <c r="J1296"/>
      <c r="K1296"/>
      <c r="L1296" s="1"/>
    </row>
    <row r="1297" spans="6:12">
      <c r="F1297" s="1"/>
      <c r="G1297"/>
      <c r="H1297"/>
      <c r="I1297" s="1"/>
      <c r="J1297"/>
      <c r="K1297"/>
      <c r="L1297" s="1"/>
    </row>
    <row r="1298" spans="6:12">
      <c r="F1298" s="1"/>
      <c r="G1298"/>
      <c r="H1298"/>
      <c r="I1298" s="1"/>
      <c r="J1298"/>
      <c r="K1298"/>
      <c r="L1298" s="1"/>
    </row>
    <row r="1299" spans="6:12">
      <c r="F1299" s="1"/>
      <c r="G1299"/>
      <c r="H1299"/>
      <c r="I1299" s="1"/>
      <c r="J1299"/>
      <c r="K1299"/>
      <c r="L1299" s="1"/>
    </row>
    <row r="1300" spans="6:12">
      <c r="F1300" s="1"/>
      <c r="G1300"/>
      <c r="H1300"/>
      <c r="I1300" s="1"/>
      <c r="J1300"/>
      <c r="K1300"/>
      <c r="L1300" s="1"/>
    </row>
    <row r="1301" spans="6:12">
      <c r="F1301" s="1"/>
      <c r="G1301"/>
      <c r="H1301"/>
      <c r="I1301" s="1"/>
      <c r="J1301"/>
      <c r="K1301"/>
      <c r="L1301" s="1"/>
    </row>
    <row r="1302" spans="6:12">
      <c r="F1302" s="1"/>
      <c r="G1302"/>
      <c r="H1302"/>
      <c r="I1302" s="1"/>
      <c r="J1302"/>
      <c r="K1302"/>
      <c r="L1302" s="1"/>
    </row>
    <row r="1303" spans="6:12">
      <c r="F1303" s="1"/>
      <c r="G1303"/>
      <c r="H1303"/>
      <c r="I1303" s="1"/>
      <c r="J1303"/>
      <c r="K1303"/>
      <c r="L1303" s="1"/>
    </row>
    <row r="1304" spans="6:12">
      <c r="F1304" s="1"/>
      <c r="G1304"/>
      <c r="H1304"/>
      <c r="I1304" s="1"/>
      <c r="J1304"/>
      <c r="K1304"/>
      <c r="L1304" s="1"/>
    </row>
    <row r="1305" spans="6:12">
      <c r="F1305" s="1"/>
      <c r="G1305"/>
      <c r="H1305"/>
      <c r="I1305" s="1"/>
      <c r="J1305"/>
      <c r="K1305"/>
      <c r="L1305" s="1"/>
    </row>
    <row r="1306" spans="6:12">
      <c r="F1306" s="1"/>
      <c r="G1306"/>
      <c r="H1306"/>
      <c r="I1306" s="1"/>
      <c r="J1306"/>
      <c r="K1306"/>
      <c r="L1306" s="1"/>
    </row>
    <row r="1307" spans="6:12">
      <c r="F1307" s="1"/>
      <c r="G1307"/>
      <c r="H1307"/>
      <c r="I1307" s="1"/>
      <c r="J1307"/>
      <c r="K1307"/>
      <c r="L1307" s="1"/>
    </row>
    <row r="1308" spans="6:12">
      <c r="F1308" s="1"/>
      <c r="G1308"/>
      <c r="H1308"/>
      <c r="I1308" s="1"/>
      <c r="J1308"/>
      <c r="K1308"/>
      <c r="L1308" s="1"/>
    </row>
    <row r="1309" spans="6:12">
      <c r="F1309" s="1"/>
      <c r="G1309"/>
      <c r="H1309"/>
      <c r="I1309" s="1"/>
      <c r="J1309"/>
      <c r="K1309"/>
      <c r="L1309" s="1"/>
    </row>
    <row r="1310" spans="6:12">
      <c r="F1310" s="1"/>
      <c r="G1310"/>
      <c r="H1310"/>
      <c r="I1310" s="1"/>
      <c r="J1310"/>
      <c r="K1310"/>
      <c r="L1310" s="1"/>
    </row>
    <row r="1311" spans="6:12">
      <c r="F1311" s="1"/>
      <c r="G1311"/>
      <c r="H1311"/>
      <c r="I1311" s="1"/>
      <c r="J1311"/>
      <c r="K1311"/>
      <c r="L1311" s="1"/>
    </row>
    <row r="1312" spans="6:12">
      <c r="F1312" s="1"/>
      <c r="G1312"/>
      <c r="H1312"/>
      <c r="I1312" s="1"/>
      <c r="J1312"/>
      <c r="K1312"/>
      <c r="L1312" s="1"/>
    </row>
    <row r="1313" spans="6:12">
      <c r="F1313" s="1"/>
      <c r="G1313"/>
      <c r="H1313"/>
      <c r="I1313" s="1"/>
      <c r="J1313"/>
      <c r="K1313"/>
      <c r="L1313" s="1"/>
    </row>
    <row r="1314" spans="6:12">
      <c r="F1314" s="1"/>
      <c r="G1314"/>
      <c r="H1314"/>
      <c r="I1314" s="1"/>
      <c r="J1314"/>
      <c r="K1314"/>
      <c r="L1314" s="1"/>
    </row>
    <row r="1315" spans="6:12">
      <c r="F1315" s="1"/>
      <c r="G1315"/>
      <c r="H1315"/>
      <c r="I1315" s="1"/>
      <c r="J1315"/>
      <c r="K1315"/>
      <c r="L1315" s="1"/>
    </row>
    <row r="1316" spans="6:12">
      <c r="F1316" s="1"/>
      <c r="G1316"/>
      <c r="H1316"/>
      <c r="I1316" s="1"/>
      <c r="J1316"/>
      <c r="K1316"/>
      <c r="L1316" s="1"/>
    </row>
    <row r="1317" spans="6:12">
      <c r="F1317" s="1"/>
      <c r="G1317"/>
      <c r="H1317"/>
      <c r="I1317" s="1"/>
      <c r="J1317"/>
      <c r="K1317"/>
      <c r="L1317" s="1"/>
    </row>
    <row r="1318" spans="6:12">
      <c r="F1318" s="1"/>
      <c r="G1318"/>
      <c r="H1318"/>
      <c r="I1318" s="1"/>
      <c r="J1318"/>
      <c r="K1318"/>
      <c r="L1318" s="1"/>
    </row>
    <row r="1319" spans="6:12">
      <c r="F1319" s="1"/>
      <c r="G1319"/>
      <c r="H1319"/>
      <c r="I1319" s="1"/>
      <c r="J1319"/>
      <c r="K1319"/>
      <c r="L1319" s="1"/>
    </row>
    <row r="1320" spans="6:12">
      <c r="F1320" s="1"/>
      <c r="G1320"/>
      <c r="H1320"/>
      <c r="I1320" s="1"/>
      <c r="J1320"/>
      <c r="K1320"/>
      <c r="L1320" s="1"/>
    </row>
    <row r="1321" spans="6:12">
      <c r="F1321" s="1"/>
      <c r="G1321"/>
      <c r="H1321"/>
      <c r="I1321" s="1"/>
      <c r="J1321"/>
      <c r="K1321"/>
      <c r="L1321" s="1"/>
    </row>
    <row r="1322" spans="6:12">
      <c r="F1322" s="1"/>
      <c r="G1322"/>
      <c r="H1322"/>
      <c r="I1322" s="1"/>
      <c r="J1322"/>
      <c r="K1322"/>
      <c r="L1322" s="1"/>
    </row>
    <row r="1323" spans="6:12">
      <c r="F1323" s="1"/>
      <c r="G1323"/>
      <c r="H1323"/>
      <c r="I1323" s="1"/>
      <c r="J1323"/>
      <c r="K1323"/>
      <c r="L1323" s="1"/>
    </row>
    <row r="1324" spans="6:12">
      <c r="F1324" s="1"/>
      <c r="G1324"/>
      <c r="H1324"/>
      <c r="I1324" s="1"/>
      <c r="J1324"/>
      <c r="K1324"/>
      <c r="L1324" s="1"/>
    </row>
    <row r="1325" spans="6:12">
      <c r="F1325" s="1"/>
      <c r="G1325"/>
      <c r="H1325"/>
      <c r="I1325" s="1"/>
      <c r="J1325"/>
      <c r="K1325"/>
      <c r="L1325" s="1"/>
    </row>
    <row r="1326" spans="6:12">
      <c r="F1326" s="1"/>
      <c r="G1326"/>
      <c r="H1326"/>
      <c r="I1326" s="1"/>
      <c r="J1326"/>
      <c r="K1326"/>
      <c r="L1326" s="1"/>
    </row>
    <row r="1327" spans="6:12">
      <c r="F1327" s="1"/>
      <c r="G1327"/>
      <c r="H1327"/>
      <c r="I1327" s="1"/>
      <c r="J1327"/>
      <c r="K1327"/>
      <c r="L1327" s="1"/>
    </row>
    <row r="1328" spans="6:12">
      <c r="F1328" s="1"/>
      <c r="G1328"/>
      <c r="H1328"/>
      <c r="I1328" s="1"/>
      <c r="J1328"/>
      <c r="K1328"/>
      <c r="L1328" s="1"/>
    </row>
    <row r="1329" spans="6:12">
      <c r="F1329" s="1"/>
      <c r="G1329"/>
      <c r="H1329"/>
      <c r="I1329" s="1"/>
      <c r="J1329"/>
      <c r="K1329"/>
      <c r="L1329" s="1"/>
    </row>
    <row r="1330" spans="6:12">
      <c r="F1330" s="1"/>
      <c r="G1330"/>
      <c r="H1330"/>
      <c r="I1330" s="1"/>
      <c r="J1330"/>
      <c r="K1330"/>
      <c r="L1330" s="1"/>
    </row>
    <row r="1331" spans="6:12">
      <c r="F1331" s="1"/>
      <c r="G1331"/>
      <c r="H1331"/>
      <c r="I1331" s="1"/>
      <c r="J1331"/>
      <c r="K1331"/>
      <c r="L1331" s="1"/>
    </row>
    <row r="1332" spans="6:12">
      <c r="F1332" s="1"/>
      <c r="G1332"/>
      <c r="H1332"/>
      <c r="I1332" s="1"/>
      <c r="J1332"/>
      <c r="K1332"/>
      <c r="L1332" s="1"/>
    </row>
    <row r="1333" spans="6:12">
      <c r="F1333" s="1"/>
      <c r="G1333"/>
      <c r="H1333"/>
      <c r="I1333" s="1"/>
      <c r="J1333"/>
      <c r="K1333"/>
      <c r="L1333" s="1"/>
    </row>
    <row r="1334" spans="6:12">
      <c r="F1334" s="1"/>
      <c r="G1334"/>
      <c r="H1334"/>
      <c r="I1334" s="1"/>
      <c r="J1334"/>
      <c r="K1334"/>
      <c r="L1334" s="1"/>
    </row>
    <row r="1335" spans="6:12">
      <c r="F1335" s="1"/>
      <c r="G1335"/>
      <c r="H1335"/>
      <c r="I1335" s="1"/>
      <c r="J1335"/>
      <c r="K1335"/>
      <c r="L1335" s="1"/>
    </row>
    <row r="1336" spans="6:12">
      <c r="F1336" s="1"/>
      <c r="G1336"/>
      <c r="H1336"/>
      <c r="I1336" s="1"/>
      <c r="J1336"/>
      <c r="K1336"/>
      <c r="L1336" s="1"/>
    </row>
    <row r="1337" spans="6:12">
      <c r="F1337" s="1"/>
      <c r="G1337"/>
      <c r="H1337"/>
      <c r="I1337" s="1"/>
      <c r="J1337"/>
      <c r="K1337"/>
      <c r="L1337" s="1"/>
    </row>
    <row r="1338" spans="6:12">
      <c r="F1338" s="1"/>
      <c r="G1338"/>
      <c r="H1338"/>
      <c r="I1338" s="1"/>
      <c r="J1338"/>
      <c r="K1338"/>
      <c r="L1338" s="1"/>
    </row>
    <row r="1339" spans="6:12">
      <c r="F1339" s="1"/>
      <c r="G1339"/>
      <c r="H1339"/>
      <c r="I1339" s="1"/>
      <c r="J1339"/>
      <c r="K1339"/>
      <c r="L1339" s="1"/>
    </row>
    <row r="1340" spans="6:12">
      <c r="F1340" s="1"/>
      <c r="G1340"/>
      <c r="H1340"/>
      <c r="I1340" s="1"/>
      <c r="J1340"/>
      <c r="K1340"/>
      <c r="L1340" s="1"/>
    </row>
    <row r="1341" spans="6:12">
      <c r="F1341" s="1"/>
      <c r="G1341"/>
      <c r="H1341"/>
      <c r="I1341" s="1"/>
      <c r="J1341"/>
      <c r="K1341"/>
      <c r="L1341" s="1"/>
    </row>
    <row r="1342" spans="6:12">
      <c r="F1342" s="1"/>
      <c r="G1342"/>
      <c r="H1342"/>
      <c r="I1342" s="1"/>
      <c r="J1342"/>
      <c r="K1342"/>
      <c r="L1342" s="1"/>
    </row>
    <row r="1343" spans="6:12">
      <c r="F1343" s="1"/>
      <c r="G1343"/>
      <c r="H1343"/>
      <c r="I1343" s="1"/>
      <c r="J1343"/>
      <c r="K1343"/>
      <c r="L1343" s="1"/>
    </row>
    <row r="1344" spans="6:12">
      <c r="F1344" s="1"/>
      <c r="G1344"/>
      <c r="H1344"/>
      <c r="I1344" s="1"/>
      <c r="J1344"/>
      <c r="K1344"/>
      <c r="L1344" s="1"/>
    </row>
    <row r="1345" spans="6:12">
      <c r="F1345" s="1"/>
      <c r="G1345"/>
      <c r="H1345"/>
      <c r="I1345" s="1"/>
      <c r="J1345"/>
      <c r="K1345"/>
      <c r="L1345" s="1"/>
    </row>
    <row r="1346" spans="6:12">
      <c r="F1346" s="1"/>
      <c r="G1346"/>
      <c r="H1346"/>
      <c r="I1346" s="1"/>
      <c r="J1346"/>
      <c r="K1346"/>
      <c r="L1346" s="1"/>
    </row>
    <row r="1347" spans="6:12">
      <c r="F1347" s="1"/>
      <c r="G1347"/>
      <c r="H1347"/>
      <c r="I1347" s="1"/>
      <c r="J1347"/>
      <c r="K1347"/>
      <c r="L1347" s="1"/>
    </row>
    <row r="1348" spans="6:12">
      <c r="F1348" s="1"/>
      <c r="G1348"/>
      <c r="H1348"/>
      <c r="I1348" s="1"/>
      <c r="J1348"/>
      <c r="K1348"/>
      <c r="L1348" s="1"/>
    </row>
    <row r="1349" spans="6:12">
      <c r="F1349" s="1"/>
      <c r="G1349"/>
      <c r="H1349"/>
      <c r="I1349" s="1"/>
      <c r="J1349"/>
      <c r="K1349"/>
      <c r="L1349" s="1"/>
    </row>
    <row r="1350" spans="6:12">
      <c r="F1350" s="1"/>
      <c r="G1350"/>
      <c r="H1350"/>
      <c r="I1350" s="1"/>
      <c r="J1350"/>
      <c r="K1350"/>
      <c r="L1350" s="1"/>
    </row>
    <row r="1351" spans="6:12">
      <c r="F1351" s="1"/>
      <c r="G1351"/>
      <c r="H1351"/>
      <c r="I1351" s="1"/>
      <c r="J1351"/>
      <c r="K1351"/>
      <c r="L1351" s="1"/>
    </row>
    <row r="1352" spans="6:12">
      <c r="F1352" s="1"/>
      <c r="G1352"/>
      <c r="H1352"/>
      <c r="I1352" s="1"/>
      <c r="J1352"/>
      <c r="K1352"/>
      <c r="L1352" s="1"/>
    </row>
    <row r="1353" spans="6:12">
      <c r="F1353" s="1"/>
      <c r="G1353"/>
      <c r="H1353"/>
      <c r="I1353" s="1"/>
      <c r="J1353"/>
      <c r="K1353"/>
      <c r="L1353" s="1"/>
    </row>
    <row r="1354" spans="6:12">
      <c r="F1354" s="1"/>
      <c r="G1354"/>
      <c r="H1354"/>
      <c r="I1354" s="1"/>
      <c r="J1354"/>
      <c r="K1354"/>
      <c r="L1354" s="1"/>
    </row>
    <row r="1355" spans="6:12">
      <c r="F1355" s="1"/>
      <c r="G1355"/>
      <c r="H1355"/>
      <c r="I1355" s="1"/>
      <c r="J1355"/>
      <c r="K1355"/>
      <c r="L1355" s="1"/>
    </row>
    <row r="1356" spans="6:12">
      <c r="F1356" s="1"/>
      <c r="G1356"/>
      <c r="H1356"/>
      <c r="I1356" s="1"/>
      <c r="J1356"/>
      <c r="K1356"/>
      <c r="L1356" s="1"/>
    </row>
    <row r="1357" spans="6:12">
      <c r="F1357" s="1"/>
      <c r="G1357"/>
      <c r="H1357"/>
      <c r="I1357" s="1"/>
      <c r="J1357"/>
      <c r="K1357"/>
      <c r="L1357" s="1"/>
    </row>
    <row r="1358" spans="6:12">
      <c r="F1358" s="1"/>
      <c r="G1358"/>
      <c r="H1358"/>
      <c r="I1358" s="1"/>
      <c r="J1358"/>
      <c r="K1358"/>
      <c r="L1358" s="1"/>
    </row>
    <row r="1359" spans="6:12">
      <c r="F1359" s="1"/>
      <c r="G1359"/>
      <c r="H1359"/>
      <c r="I1359" s="1"/>
      <c r="J1359"/>
      <c r="K1359"/>
      <c r="L1359" s="1"/>
    </row>
    <row r="1360" spans="6:12">
      <c r="F1360" s="1"/>
      <c r="G1360"/>
      <c r="H1360"/>
      <c r="I1360" s="1"/>
      <c r="J1360"/>
      <c r="K1360"/>
      <c r="L1360" s="1"/>
    </row>
    <row r="1361" spans="6:12">
      <c r="F1361" s="1"/>
      <c r="G1361"/>
      <c r="H1361"/>
      <c r="I1361" s="1"/>
      <c r="J1361"/>
      <c r="K1361"/>
      <c r="L1361" s="1"/>
    </row>
    <row r="1362" spans="6:12">
      <c r="F1362" s="1"/>
      <c r="G1362"/>
      <c r="H1362"/>
      <c r="I1362" s="1"/>
      <c r="J1362"/>
      <c r="K1362"/>
      <c r="L1362" s="1"/>
    </row>
    <row r="1363" spans="6:12">
      <c r="F1363" s="1"/>
      <c r="G1363"/>
      <c r="H1363"/>
      <c r="I1363" s="1"/>
      <c r="J1363"/>
      <c r="K1363"/>
      <c r="L1363" s="1"/>
    </row>
    <row r="1364" spans="6:12">
      <c r="F1364" s="1"/>
      <c r="G1364"/>
      <c r="H1364"/>
      <c r="I1364" s="1"/>
      <c r="J1364"/>
      <c r="K1364"/>
      <c r="L1364" s="1"/>
    </row>
    <row r="1365" spans="6:12">
      <c r="F1365" s="1"/>
      <c r="G1365"/>
      <c r="H1365"/>
      <c r="I1365" s="1"/>
      <c r="J1365"/>
      <c r="K1365"/>
      <c r="L1365" s="1"/>
    </row>
    <row r="1366" spans="6:12">
      <c r="F1366" s="1"/>
      <c r="G1366"/>
      <c r="H1366"/>
      <c r="I1366" s="1"/>
      <c r="J1366"/>
      <c r="K1366"/>
      <c r="L1366" s="1"/>
    </row>
    <row r="1367" spans="6:12">
      <c r="F1367" s="1"/>
      <c r="G1367"/>
      <c r="H1367"/>
      <c r="I1367" s="1"/>
      <c r="J1367"/>
      <c r="K1367"/>
      <c r="L1367" s="1"/>
    </row>
    <row r="1368" spans="6:12">
      <c r="F1368" s="1"/>
      <c r="G1368"/>
      <c r="H1368"/>
      <c r="I1368" s="1"/>
      <c r="J1368"/>
      <c r="K1368"/>
      <c r="L1368" s="1"/>
    </row>
    <row r="1369" spans="6:12">
      <c r="F1369" s="1"/>
      <c r="G1369"/>
      <c r="H1369"/>
      <c r="I1369" s="1"/>
      <c r="J1369"/>
      <c r="K1369"/>
      <c r="L1369" s="1"/>
    </row>
    <row r="1370" spans="6:12">
      <c r="F1370" s="1"/>
      <c r="G1370"/>
      <c r="H1370"/>
      <c r="I1370" s="1"/>
      <c r="J1370"/>
      <c r="K1370"/>
      <c r="L1370" s="1"/>
    </row>
    <row r="1371" spans="6:12">
      <c r="F1371" s="1"/>
      <c r="G1371"/>
      <c r="H1371"/>
      <c r="I1371" s="1"/>
      <c r="J1371"/>
      <c r="K1371"/>
      <c r="L1371" s="1"/>
    </row>
    <row r="1372" spans="6:12">
      <c r="F1372" s="1"/>
      <c r="G1372"/>
      <c r="H1372"/>
      <c r="I1372" s="1"/>
      <c r="J1372"/>
      <c r="K1372"/>
      <c r="L1372" s="1"/>
    </row>
    <row r="1373" spans="6:12">
      <c r="F1373" s="1"/>
      <c r="G1373"/>
      <c r="H1373"/>
      <c r="I1373" s="1"/>
      <c r="J1373"/>
      <c r="K1373"/>
      <c r="L1373" s="1"/>
    </row>
    <row r="1374" spans="6:12">
      <c r="F1374" s="1"/>
      <c r="G1374"/>
      <c r="H1374"/>
      <c r="I1374" s="1"/>
      <c r="J1374"/>
      <c r="K1374"/>
      <c r="L1374" s="1"/>
    </row>
    <row r="1375" spans="6:12">
      <c r="F1375" s="1"/>
      <c r="G1375"/>
      <c r="H1375"/>
      <c r="I1375" s="1"/>
      <c r="J1375"/>
      <c r="K1375"/>
      <c r="L1375" s="1"/>
    </row>
    <row r="1376" spans="6:12">
      <c r="F1376" s="1"/>
      <c r="G1376"/>
      <c r="H1376"/>
      <c r="I1376" s="1"/>
      <c r="J1376"/>
      <c r="K1376"/>
      <c r="L1376" s="1"/>
    </row>
    <row r="1377" spans="6:12">
      <c r="F1377" s="1"/>
      <c r="G1377"/>
      <c r="H1377"/>
      <c r="I1377" s="1"/>
      <c r="J1377"/>
      <c r="K1377"/>
      <c r="L1377" s="1"/>
    </row>
    <row r="1378" spans="6:12">
      <c r="F1378" s="1"/>
      <c r="G1378"/>
      <c r="H1378"/>
      <c r="I1378" s="1"/>
      <c r="J1378"/>
      <c r="K1378"/>
      <c r="L1378" s="1"/>
    </row>
    <row r="1379" spans="6:12">
      <c r="F1379" s="1"/>
      <c r="G1379"/>
      <c r="H1379"/>
      <c r="I1379" s="1"/>
      <c r="J1379"/>
      <c r="K1379"/>
      <c r="L1379" s="1"/>
    </row>
    <row r="1380" spans="6:12">
      <c r="F1380" s="1"/>
      <c r="G1380"/>
      <c r="H1380"/>
      <c r="I1380" s="1"/>
      <c r="J1380"/>
      <c r="K1380"/>
      <c r="L1380" s="1"/>
    </row>
    <row r="1381" spans="6:12">
      <c r="F1381" s="1"/>
      <c r="G1381"/>
      <c r="H1381"/>
      <c r="I1381" s="1"/>
      <c r="J1381"/>
      <c r="K1381"/>
      <c r="L1381" s="1"/>
    </row>
    <row r="1382" spans="6:12">
      <c r="F1382" s="1"/>
      <c r="G1382"/>
      <c r="H1382"/>
      <c r="I1382" s="1"/>
      <c r="J1382"/>
      <c r="K1382"/>
      <c r="L1382" s="1"/>
    </row>
    <row r="1383" spans="6:12">
      <c r="F1383" s="1"/>
      <c r="G1383"/>
      <c r="H1383"/>
      <c r="I1383" s="1"/>
      <c r="J1383"/>
      <c r="K1383"/>
      <c r="L1383" s="1"/>
    </row>
    <row r="1384" spans="6:12">
      <c r="F1384" s="1"/>
      <c r="G1384"/>
      <c r="H1384"/>
      <c r="I1384" s="1"/>
      <c r="J1384"/>
      <c r="K1384"/>
      <c r="L1384" s="1"/>
    </row>
    <row r="1385" spans="6:12">
      <c r="F1385" s="1"/>
      <c r="G1385"/>
      <c r="H1385"/>
      <c r="I1385" s="1"/>
      <c r="J1385"/>
      <c r="K1385"/>
      <c r="L1385" s="1"/>
    </row>
    <row r="1386" spans="6:12">
      <c r="F1386" s="1"/>
      <c r="G1386"/>
      <c r="H1386"/>
      <c r="I1386" s="1"/>
      <c r="J1386"/>
      <c r="K1386"/>
      <c r="L1386" s="1"/>
    </row>
    <row r="1387" spans="6:12">
      <c r="F1387" s="1"/>
      <c r="G1387"/>
      <c r="H1387"/>
      <c r="I1387" s="1"/>
      <c r="J1387"/>
      <c r="K1387"/>
      <c r="L1387" s="1"/>
    </row>
    <row r="1388" spans="6:12">
      <c r="F1388" s="1"/>
      <c r="G1388"/>
      <c r="H1388"/>
      <c r="I1388" s="1"/>
      <c r="J1388"/>
      <c r="K1388"/>
      <c r="L1388" s="1"/>
    </row>
    <row r="1389" spans="6:12">
      <c r="F1389" s="1"/>
      <c r="G1389"/>
      <c r="H1389"/>
      <c r="I1389" s="1"/>
      <c r="J1389"/>
      <c r="K1389"/>
      <c r="L1389" s="1"/>
    </row>
    <row r="1390" spans="6:12">
      <c r="F1390" s="1"/>
      <c r="G1390"/>
      <c r="H1390"/>
      <c r="I1390" s="1"/>
      <c r="J1390"/>
      <c r="K1390"/>
      <c r="L1390" s="1"/>
    </row>
    <row r="1391" spans="6:12">
      <c r="F1391" s="1"/>
      <c r="G1391"/>
      <c r="H1391"/>
      <c r="I1391" s="1"/>
      <c r="J1391"/>
      <c r="K1391"/>
      <c r="L1391" s="1"/>
    </row>
    <row r="1392" spans="6:12">
      <c r="F1392" s="1"/>
      <c r="G1392"/>
      <c r="H1392"/>
      <c r="I1392" s="1"/>
      <c r="J1392"/>
      <c r="K1392"/>
      <c r="L1392" s="1"/>
    </row>
    <row r="1393" spans="6:12">
      <c r="F1393" s="1"/>
      <c r="G1393"/>
      <c r="H1393"/>
      <c r="I1393" s="1"/>
      <c r="J1393"/>
      <c r="K1393"/>
      <c r="L1393" s="1"/>
    </row>
    <row r="1394" spans="6:12">
      <c r="F1394" s="1"/>
      <c r="G1394"/>
      <c r="H1394"/>
      <c r="I1394" s="1"/>
      <c r="J1394"/>
      <c r="K1394"/>
      <c r="L1394" s="1"/>
    </row>
    <row r="1395" spans="6:12">
      <c r="F1395" s="1"/>
      <c r="G1395"/>
      <c r="H1395"/>
      <c r="I1395" s="1"/>
      <c r="J1395"/>
      <c r="K1395"/>
      <c r="L1395" s="1"/>
    </row>
    <row r="1396" spans="6:12">
      <c r="F1396" s="1"/>
      <c r="G1396"/>
      <c r="H1396"/>
      <c r="I1396" s="1"/>
      <c r="J1396"/>
      <c r="K1396"/>
      <c r="L1396" s="1"/>
    </row>
    <row r="1397" spans="6:12">
      <c r="F1397" s="1"/>
      <c r="G1397"/>
      <c r="H1397"/>
      <c r="I1397" s="1"/>
      <c r="J1397"/>
      <c r="K1397"/>
      <c r="L1397" s="1"/>
    </row>
    <row r="1398" spans="6:12">
      <c r="F1398" s="1"/>
      <c r="G1398"/>
      <c r="H1398"/>
      <c r="I1398" s="1"/>
      <c r="J1398"/>
      <c r="K1398"/>
      <c r="L1398" s="1"/>
    </row>
    <row r="1399" spans="6:12">
      <c r="F1399" s="1"/>
      <c r="G1399"/>
      <c r="H1399"/>
      <c r="I1399" s="1"/>
      <c r="J1399"/>
      <c r="K1399"/>
      <c r="L1399" s="1"/>
    </row>
    <row r="1400" spans="6:12">
      <c r="F1400" s="1"/>
      <c r="G1400"/>
      <c r="H1400"/>
      <c r="I1400" s="1"/>
      <c r="J1400"/>
      <c r="K1400"/>
      <c r="L1400" s="1"/>
    </row>
    <row r="1401" spans="6:12">
      <c r="F1401" s="1"/>
      <c r="G1401"/>
      <c r="H1401"/>
      <c r="I1401" s="1"/>
      <c r="J1401"/>
      <c r="K1401"/>
      <c r="L1401" s="1"/>
    </row>
    <row r="1402" spans="6:12">
      <c r="F1402" s="1"/>
      <c r="G1402"/>
      <c r="H1402"/>
      <c r="I1402" s="1"/>
      <c r="J1402"/>
      <c r="K1402"/>
      <c r="L1402" s="1"/>
    </row>
    <row r="1403" spans="6:12">
      <c r="F1403" s="1"/>
      <c r="G1403"/>
      <c r="H1403"/>
      <c r="I1403" s="1"/>
      <c r="J1403"/>
      <c r="K1403"/>
      <c r="L1403" s="1"/>
    </row>
    <row r="1404" spans="6:12">
      <c r="F1404" s="1"/>
      <c r="G1404"/>
      <c r="H1404"/>
      <c r="I1404" s="1"/>
      <c r="J1404"/>
      <c r="K1404"/>
      <c r="L1404" s="1"/>
    </row>
    <row r="1405" spans="6:12">
      <c r="F1405" s="1"/>
      <c r="G1405"/>
      <c r="H1405"/>
      <c r="I1405" s="1"/>
      <c r="J1405"/>
      <c r="K1405"/>
      <c r="L1405" s="1"/>
    </row>
    <row r="1406" spans="6:12">
      <c r="F1406" s="1"/>
      <c r="G1406"/>
      <c r="H1406"/>
      <c r="I1406" s="1"/>
      <c r="J1406"/>
      <c r="K1406"/>
      <c r="L1406" s="1"/>
    </row>
    <row r="1407" spans="6:12">
      <c r="F1407" s="1"/>
      <c r="G1407"/>
      <c r="H1407"/>
      <c r="I1407" s="1"/>
      <c r="J1407"/>
      <c r="K1407"/>
      <c r="L1407" s="1"/>
    </row>
    <row r="1408" spans="6:12">
      <c r="F1408" s="1"/>
      <c r="G1408"/>
      <c r="H1408"/>
      <c r="I1408" s="1"/>
      <c r="J1408"/>
      <c r="K1408"/>
      <c r="L1408" s="1"/>
    </row>
    <row r="1409" spans="6:12">
      <c r="F1409" s="1"/>
      <c r="G1409"/>
      <c r="H1409"/>
      <c r="I1409" s="1"/>
      <c r="J1409"/>
      <c r="K1409"/>
      <c r="L1409" s="1"/>
    </row>
    <row r="1410" spans="6:12">
      <c r="F1410" s="1"/>
      <c r="G1410"/>
      <c r="H1410"/>
      <c r="I1410" s="1"/>
      <c r="J1410"/>
      <c r="K1410"/>
      <c r="L1410" s="1"/>
    </row>
    <row r="1411" spans="6:12">
      <c r="F1411" s="1"/>
      <c r="G1411"/>
      <c r="H1411"/>
      <c r="I1411" s="1"/>
      <c r="J1411"/>
      <c r="K1411"/>
      <c r="L1411" s="1"/>
    </row>
    <row r="1412" spans="6:12">
      <c r="F1412" s="1"/>
      <c r="G1412"/>
      <c r="H1412"/>
      <c r="I1412" s="1"/>
      <c r="J1412"/>
      <c r="K1412"/>
      <c r="L1412" s="1"/>
    </row>
    <row r="1413" spans="6:12">
      <c r="F1413" s="1"/>
      <c r="G1413"/>
      <c r="H1413"/>
      <c r="I1413" s="1"/>
      <c r="J1413"/>
      <c r="K1413"/>
      <c r="L1413" s="1"/>
    </row>
    <row r="1414" spans="6:12">
      <c r="F1414" s="1"/>
      <c r="G1414"/>
      <c r="H1414"/>
      <c r="I1414" s="1"/>
      <c r="J1414"/>
      <c r="K1414"/>
      <c r="L1414" s="1"/>
    </row>
    <row r="1415" spans="6:12">
      <c r="F1415" s="1"/>
      <c r="G1415"/>
      <c r="H1415"/>
      <c r="I1415" s="1"/>
      <c r="J1415"/>
      <c r="K1415"/>
      <c r="L1415" s="1"/>
    </row>
    <row r="1416" spans="6:12">
      <c r="F1416" s="1"/>
      <c r="G1416"/>
      <c r="H1416"/>
      <c r="I1416" s="1"/>
      <c r="J1416"/>
      <c r="K1416"/>
      <c r="L1416" s="1"/>
    </row>
    <row r="1417" spans="6:12">
      <c r="F1417" s="1"/>
      <c r="G1417"/>
      <c r="H1417"/>
      <c r="I1417" s="1"/>
      <c r="J1417"/>
      <c r="K1417"/>
      <c r="L1417" s="1"/>
    </row>
    <row r="1418" spans="6:12">
      <c r="F1418" s="1"/>
      <c r="G1418"/>
      <c r="H1418"/>
      <c r="I1418" s="1"/>
      <c r="J1418"/>
      <c r="K1418"/>
      <c r="L1418" s="1"/>
    </row>
    <row r="1419" spans="6:12">
      <c r="F1419" s="1"/>
      <c r="G1419"/>
      <c r="H1419"/>
      <c r="I1419" s="1"/>
      <c r="J1419"/>
      <c r="K1419"/>
      <c r="L1419" s="1"/>
    </row>
    <row r="1420" spans="6:12">
      <c r="F1420" s="1"/>
      <c r="G1420"/>
      <c r="H1420"/>
      <c r="I1420" s="1"/>
      <c r="J1420"/>
      <c r="K1420"/>
      <c r="L1420" s="1"/>
    </row>
    <row r="1421" spans="6:12">
      <c r="F1421" s="1"/>
      <c r="G1421"/>
      <c r="H1421"/>
      <c r="I1421" s="1"/>
      <c r="J1421"/>
      <c r="K1421"/>
      <c r="L1421" s="1"/>
    </row>
    <row r="1422" spans="6:12">
      <c r="F1422" s="1"/>
      <c r="G1422"/>
      <c r="H1422"/>
      <c r="I1422" s="1"/>
      <c r="J1422"/>
      <c r="K1422"/>
      <c r="L1422" s="1"/>
    </row>
    <row r="1423" spans="6:12">
      <c r="F1423" s="1"/>
      <c r="G1423"/>
      <c r="H1423"/>
      <c r="I1423" s="1"/>
      <c r="J1423"/>
      <c r="K1423"/>
      <c r="L1423" s="1"/>
    </row>
    <row r="1424" spans="6:12">
      <c r="F1424" s="1"/>
      <c r="G1424"/>
      <c r="H1424"/>
      <c r="I1424" s="1"/>
      <c r="J1424"/>
      <c r="K1424"/>
      <c r="L1424" s="1"/>
    </row>
    <row r="1425" spans="6:12">
      <c r="F1425" s="1"/>
      <c r="G1425"/>
      <c r="H1425"/>
      <c r="I1425" s="1"/>
      <c r="J1425"/>
      <c r="K1425"/>
      <c r="L1425" s="1"/>
    </row>
    <row r="1426" spans="6:12">
      <c r="F1426" s="1"/>
      <c r="G1426"/>
      <c r="H1426"/>
      <c r="I1426" s="1"/>
      <c r="J1426"/>
      <c r="K1426"/>
      <c r="L1426" s="1"/>
    </row>
    <row r="1427" spans="6:12">
      <c r="F1427" s="1"/>
      <c r="G1427"/>
      <c r="H1427"/>
      <c r="I1427" s="1"/>
      <c r="J1427"/>
      <c r="K1427"/>
      <c r="L1427" s="1"/>
    </row>
    <row r="1428" spans="6:12">
      <c r="F1428" s="1"/>
      <c r="G1428"/>
      <c r="H1428"/>
      <c r="I1428" s="1"/>
      <c r="J1428"/>
      <c r="K1428"/>
      <c r="L1428" s="1"/>
    </row>
    <row r="1429" spans="6:12">
      <c r="F1429" s="1"/>
      <c r="G1429"/>
      <c r="H1429"/>
      <c r="I1429" s="1"/>
      <c r="J1429"/>
      <c r="K1429"/>
      <c r="L1429" s="1"/>
    </row>
    <row r="1430" spans="6:12">
      <c r="F1430" s="1"/>
      <c r="G1430"/>
      <c r="H1430"/>
      <c r="I1430" s="1"/>
      <c r="J1430"/>
      <c r="K1430"/>
      <c r="L1430" s="1"/>
    </row>
    <row r="1431" spans="6:12">
      <c r="F1431" s="1"/>
      <c r="G1431"/>
      <c r="H1431"/>
      <c r="I1431" s="1"/>
      <c r="J1431"/>
      <c r="K1431"/>
      <c r="L1431" s="1"/>
    </row>
    <row r="1432" spans="6:12">
      <c r="F1432" s="1"/>
      <c r="G1432"/>
      <c r="H1432"/>
      <c r="I1432" s="1"/>
      <c r="J1432"/>
      <c r="K1432"/>
      <c r="L1432" s="1"/>
    </row>
    <row r="1433" spans="6:12">
      <c r="F1433" s="1"/>
      <c r="G1433"/>
      <c r="H1433"/>
      <c r="I1433" s="1"/>
      <c r="J1433"/>
      <c r="K1433"/>
      <c r="L1433" s="1"/>
    </row>
    <row r="1434" spans="6:12">
      <c r="F1434" s="1"/>
      <c r="G1434"/>
      <c r="H1434"/>
      <c r="I1434" s="1"/>
      <c r="J1434"/>
      <c r="K1434"/>
      <c r="L1434" s="1"/>
    </row>
    <row r="1435" spans="6:12">
      <c r="F1435" s="1"/>
      <c r="G1435"/>
      <c r="H1435"/>
      <c r="I1435" s="1"/>
      <c r="J1435"/>
      <c r="K1435"/>
      <c r="L1435" s="1"/>
    </row>
    <row r="1436" spans="6:12">
      <c r="F1436" s="1"/>
      <c r="G1436"/>
      <c r="H1436"/>
      <c r="I1436" s="1"/>
      <c r="J1436"/>
      <c r="K1436"/>
      <c r="L1436" s="1"/>
    </row>
    <row r="1437" spans="6:12">
      <c r="F1437" s="1"/>
      <c r="G1437"/>
      <c r="H1437"/>
      <c r="I1437" s="1"/>
      <c r="J1437"/>
      <c r="K1437"/>
      <c r="L1437" s="1"/>
    </row>
    <row r="1438" spans="6:12">
      <c r="F1438" s="1"/>
      <c r="G1438"/>
      <c r="H1438"/>
      <c r="I1438" s="1"/>
      <c r="J1438"/>
      <c r="K1438"/>
      <c r="L1438" s="1"/>
    </row>
    <row r="1439" spans="6:12">
      <c r="F1439" s="1"/>
      <c r="G1439"/>
      <c r="H1439"/>
      <c r="I1439" s="1"/>
      <c r="J1439"/>
      <c r="K1439"/>
      <c r="L1439" s="1"/>
    </row>
    <row r="1440" spans="6:12">
      <c r="F1440" s="1"/>
      <c r="G1440"/>
      <c r="H1440"/>
      <c r="I1440" s="1"/>
      <c r="J1440"/>
      <c r="K1440"/>
      <c r="L1440" s="1"/>
    </row>
    <row r="1441" spans="6:12">
      <c r="F1441" s="1"/>
      <c r="G1441"/>
      <c r="H1441"/>
      <c r="I1441" s="1"/>
      <c r="J1441"/>
      <c r="K1441"/>
      <c r="L1441" s="1"/>
    </row>
    <row r="1442" spans="6:12">
      <c r="F1442" s="1"/>
      <c r="G1442"/>
      <c r="H1442"/>
      <c r="I1442" s="1"/>
      <c r="J1442"/>
      <c r="K1442"/>
      <c r="L1442" s="1"/>
    </row>
    <row r="1443" spans="6:12">
      <c r="F1443" s="1"/>
      <c r="G1443"/>
      <c r="H1443"/>
      <c r="I1443" s="1"/>
      <c r="J1443"/>
      <c r="K1443"/>
      <c r="L1443" s="1"/>
    </row>
    <row r="1444" spans="6:12">
      <c r="F1444" s="1"/>
      <c r="G1444"/>
      <c r="H1444"/>
      <c r="I1444" s="1"/>
      <c r="J1444"/>
      <c r="K1444"/>
      <c r="L1444" s="1"/>
    </row>
    <row r="1445" spans="6:12">
      <c r="F1445" s="1"/>
      <c r="G1445"/>
      <c r="H1445"/>
      <c r="I1445" s="1"/>
      <c r="J1445"/>
      <c r="K1445"/>
      <c r="L1445" s="1"/>
    </row>
    <row r="1446" spans="6:12">
      <c r="F1446" s="1"/>
      <c r="G1446"/>
      <c r="H1446"/>
      <c r="I1446" s="1"/>
      <c r="J1446"/>
      <c r="K1446"/>
      <c r="L1446" s="1"/>
    </row>
    <row r="1447" spans="6:12">
      <c r="F1447" s="1"/>
      <c r="G1447"/>
      <c r="H1447"/>
      <c r="I1447" s="1"/>
      <c r="J1447"/>
      <c r="K1447"/>
      <c r="L1447" s="1"/>
    </row>
    <row r="1448" spans="6:12">
      <c r="F1448" s="1"/>
      <c r="G1448"/>
      <c r="H1448"/>
      <c r="I1448" s="1"/>
      <c r="J1448"/>
      <c r="K1448"/>
      <c r="L1448" s="1"/>
    </row>
    <row r="1449" spans="6:12">
      <c r="F1449" s="1"/>
      <c r="G1449"/>
      <c r="H1449"/>
      <c r="I1449" s="1"/>
      <c r="J1449"/>
      <c r="K1449"/>
      <c r="L1449" s="1"/>
    </row>
    <row r="1450" spans="6:12">
      <c r="F1450" s="1"/>
      <c r="G1450"/>
      <c r="H1450"/>
      <c r="I1450" s="1"/>
      <c r="J1450"/>
      <c r="K1450"/>
      <c r="L1450" s="1"/>
    </row>
    <row r="1451" spans="6:12">
      <c r="F1451" s="1"/>
      <c r="G1451"/>
      <c r="H1451"/>
      <c r="I1451" s="1"/>
      <c r="J1451"/>
      <c r="K1451"/>
      <c r="L1451" s="1"/>
    </row>
    <row r="1452" spans="6:12">
      <c r="F1452" s="1"/>
      <c r="G1452"/>
      <c r="H1452"/>
      <c r="I1452" s="1"/>
      <c r="J1452"/>
      <c r="K1452"/>
      <c r="L1452" s="1"/>
    </row>
    <row r="1453" spans="6:12">
      <c r="F1453" s="1"/>
      <c r="G1453"/>
      <c r="H1453"/>
      <c r="I1453" s="1"/>
      <c r="J1453"/>
      <c r="K1453"/>
      <c r="L1453" s="1"/>
    </row>
    <row r="1454" spans="6:12">
      <c r="F1454" s="1"/>
      <c r="G1454"/>
      <c r="H1454"/>
      <c r="I1454" s="1"/>
      <c r="J1454"/>
      <c r="K1454"/>
      <c r="L1454" s="1"/>
    </row>
    <row r="1455" spans="6:12">
      <c r="F1455" s="1"/>
      <c r="G1455"/>
      <c r="H1455"/>
      <c r="I1455" s="1"/>
      <c r="J1455"/>
      <c r="K1455"/>
      <c r="L1455" s="1"/>
    </row>
    <row r="1456" spans="6:12">
      <c r="F1456" s="1"/>
      <c r="G1456"/>
      <c r="H1456"/>
      <c r="I1456" s="1"/>
      <c r="J1456"/>
      <c r="K1456"/>
      <c r="L1456" s="1"/>
    </row>
    <row r="1457" spans="6:12">
      <c r="F1457" s="1"/>
      <c r="G1457"/>
      <c r="H1457"/>
      <c r="I1457" s="1"/>
      <c r="J1457"/>
      <c r="K1457"/>
      <c r="L1457" s="1"/>
    </row>
    <row r="1458" spans="6:12">
      <c r="F1458" s="1"/>
      <c r="G1458"/>
      <c r="H1458"/>
      <c r="I1458" s="1"/>
      <c r="J1458"/>
      <c r="K1458"/>
      <c r="L1458" s="1"/>
    </row>
    <row r="1459" spans="6:12">
      <c r="F1459" s="1"/>
      <c r="G1459"/>
      <c r="H1459"/>
      <c r="I1459" s="1"/>
      <c r="J1459"/>
      <c r="K1459"/>
      <c r="L1459" s="1"/>
    </row>
    <row r="1460" spans="6:12">
      <c r="F1460" s="1"/>
      <c r="G1460"/>
      <c r="H1460"/>
      <c r="I1460" s="1"/>
      <c r="J1460"/>
      <c r="K1460"/>
      <c r="L1460" s="1"/>
    </row>
    <row r="1461" spans="6:12">
      <c r="F1461" s="1"/>
      <c r="G1461"/>
      <c r="H1461"/>
      <c r="I1461" s="1"/>
      <c r="J1461"/>
      <c r="K1461"/>
      <c r="L1461" s="1"/>
    </row>
    <row r="1462" spans="6:12">
      <c r="F1462" s="1"/>
      <c r="G1462"/>
      <c r="H1462"/>
      <c r="I1462" s="1"/>
      <c r="J1462"/>
      <c r="K1462"/>
      <c r="L1462" s="1"/>
    </row>
    <row r="1463" spans="6:12">
      <c r="F1463" s="1"/>
      <c r="G1463"/>
      <c r="H1463"/>
      <c r="I1463" s="1"/>
      <c r="J1463"/>
      <c r="K1463"/>
      <c r="L1463" s="1"/>
    </row>
    <row r="1464" spans="6:12">
      <c r="F1464" s="1"/>
      <c r="G1464"/>
      <c r="H1464"/>
      <c r="I1464" s="1"/>
      <c r="J1464"/>
      <c r="K1464"/>
      <c r="L1464" s="1"/>
    </row>
    <row r="1465" spans="6:12">
      <c r="F1465" s="1"/>
      <c r="G1465"/>
      <c r="H1465"/>
      <c r="I1465" s="1"/>
      <c r="J1465"/>
      <c r="K1465"/>
      <c r="L1465" s="1"/>
    </row>
    <row r="1466" spans="6:12">
      <c r="F1466" s="1"/>
      <c r="G1466"/>
      <c r="H1466"/>
      <c r="I1466" s="1"/>
      <c r="J1466"/>
      <c r="K1466"/>
      <c r="L1466" s="1"/>
    </row>
    <row r="1467" spans="6:12">
      <c r="F1467" s="1"/>
      <c r="G1467"/>
      <c r="H1467"/>
      <c r="I1467" s="1"/>
      <c r="J1467"/>
      <c r="K1467"/>
      <c r="L1467" s="1"/>
    </row>
    <row r="1468" spans="6:12">
      <c r="F1468" s="1"/>
      <c r="G1468"/>
      <c r="H1468"/>
      <c r="I1468" s="1"/>
      <c r="J1468"/>
      <c r="K1468"/>
      <c r="L1468" s="1"/>
    </row>
    <row r="1469" spans="6:12">
      <c r="F1469" s="1"/>
      <c r="G1469"/>
      <c r="H1469"/>
      <c r="I1469" s="1"/>
      <c r="J1469"/>
      <c r="K1469"/>
      <c r="L1469" s="1"/>
    </row>
    <row r="1470" spans="6:12">
      <c r="F1470" s="1"/>
      <c r="G1470"/>
      <c r="H1470"/>
      <c r="I1470" s="1"/>
      <c r="J1470"/>
      <c r="K1470"/>
      <c r="L1470" s="1"/>
    </row>
    <row r="1471" spans="6:12">
      <c r="F1471" s="1"/>
      <c r="G1471"/>
      <c r="H1471"/>
      <c r="I1471" s="1"/>
      <c r="J1471"/>
      <c r="K1471"/>
      <c r="L1471" s="1"/>
    </row>
    <row r="1472" spans="6:12">
      <c r="F1472" s="1"/>
      <c r="G1472"/>
      <c r="H1472"/>
      <c r="I1472" s="1"/>
      <c r="J1472"/>
      <c r="K1472"/>
      <c r="L1472" s="1"/>
    </row>
    <row r="1473" spans="6:12">
      <c r="F1473" s="1"/>
      <c r="G1473"/>
      <c r="H1473"/>
      <c r="I1473" s="1"/>
      <c r="J1473"/>
      <c r="K1473"/>
      <c r="L1473" s="1"/>
    </row>
    <row r="1474" spans="6:12">
      <c r="F1474" s="1"/>
      <c r="G1474"/>
      <c r="H1474"/>
      <c r="I1474" s="1"/>
      <c r="J1474"/>
      <c r="K1474"/>
      <c r="L1474" s="1"/>
    </row>
    <row r="1475" spans="6:12">
      <c r="F1475" s="1"/>
      <c r="G1475"/>
      <c r="H1475"/>
      <c r="I1475" s="1"/>
      <c r="J1475"/>
      <c r="K1475"/>
      <c r="L1475" s="1"/>
    </row>
    <row r="1476" spans="6:12">
      <c r="F1476" s="1"/>
      <c r="G1476"/>
      <c r="H1476"/>
      <c r="I1476" s="1"/>
      <c r="J1476"/>
      <c r="K1476"/>
      <c r="L1476" s="1"/>
    </row>
    <row r="1477" spans="6:12">
      <c r="F1477" s="1"/>
      <c r="G1477"/>
      <c r="H1477"/>
      <c r="I1477" s="1"/>
      <c r="J1477"/>
      <c r="K1477"/>
      <c r="L1477" s="1"/>
    </row>
    <row r="1478" spans="6:12">
      <c r="F1478" s="1"/>
      <c r="G1478"/>
      <c r="H1478"/>
      <c r="I1478" s="1"/>
      <c r="J1478"/>
      <c r="K1478"/>
      <c r="L1478" s="1"/>
    </row>
    <row r="1479" spans="6:12">
      <c r="F1479" s="1"/>
      <c r="G1479"/>
      <c r="H1479"/>
      <c r="I1479" s="1"/>
      <c r="J1479"/>
      <c r="K1479"/>
      <c r="L1479" s="1"/>
    </row>
    <row r="1480" spans="6:12">
      <c r="F1480" s="1"/>
      <c r="G1480"/>
      <c r="H1480"/>
      <c r="I1480" s="1"/>
      <c r="J1480"/>
      <c r="K1480"/>
      <c r="L1480" s="1"/>
    </row>
    <row r="1481" spans="6:12">
      <c r="F1481" s="1"/>
      <c r="G1481"/>
      <c r="H1481"/>
      <c r="I1481" s="1"/>
      <c r="J1481"/>
      <c r="K1481"/>
      <c r="L1481" s="1"/>
    </row>
    <row r="1482" spans="6:12">
      <c r="F1482" s="1"/>
      <c r="G1482"/>
      <c r="H1482"/>
      <c r="I1482" s="1"/>
      <c r="J1482"/>
      <c r="K1482"/>
      <c r="L1482" s="1"/>
    </row>
    <row r="1483" spans="6:12">
      <c r="F1483" s="1"/>
      <c r="G1483"/>
      <c r="H1483"/>
      <c r="I1483" s="1"/>
      <c r="J1483"/>
      <c r="K1483"/>
      <c r="L1483" s="1"/>
    </row>
    <row r="1484" spans="6:12">
      <c r="F1484" s="1"/>
      <c r="G1484"/>
      <c r="H1484"/>
      <c r="I1484" s="1"/>
      <c r="J1484"/>
      <c r="K1484"/>
      <c r="L1484" s="1"/>
    </row>
    <row r="1485" spans="6:12">
      <c r="F1485" s="1"/>
      <c r="G1485"/>
      <c r="H1485"/>
      <c r="I1485" s="1"/>
      <c r="J1485"/>
      <c r="K1485"/>
      <c r="L1485" s="1"/>
    </row>
    <row r="1486" spans="6:12">
      <c r="F1486" s="1"/>
      <c r="G1486"/>
      <c r="H1486"/>
      <c r="I1486" s="1"/>
      <c r="J1486"/>
      <c r="K1486"/>
      <c r="L1486" s="1"/>
    </row>
    <row r="1487" spans="6:12">
      <c r="F1487" s="1"/>
      <c r="G1487"/>
      <c r="H1487"/>
      <c r="I1487" s="1"/>
      <c r="J1487"/>
      <c r="K1487"/>
      <c r="L1487" s="1"/>
    </row>
    <row r="1488" spans="6:12">
      <c r="F1488" s="1"/>
      <c r="G1488"/>
      <c r="H1488"/>
      <c r="I1488" s="1"/>
      <c r="J1488"/>
      <c r="K1488"/>
      <c r="L1488" s="1"/>
    </row>
    <row r="1489" spans="6:12">
      <c r="F1489" s="1"/>
      <c r="G1489"/>
      <c r="H1489"/>
      <c r="I1489" s="1"/>
      <c r="J1489"/>
      <c r="K1489"/>
      <c r="L1489" s="1"/>
    </row>
    <row r="1490" spans="6:12">
      <c r="F1490" s="1"/>
      <c r="G1490"/>
      <c r="H1490"/>
      <c r="I1490" s="1"/>
      <c r="J1490"/>
      <c r="K1490"/>
      <c r="L1490" s="1"/>
    </row>
    <row r="1491" spans="6:12">
      <c r="F1491" s="1"/>
      <c r="G1491"/>
      <c r="H1491"/>
      <c r="I1491" s="1"/>
      <c r="J1491"/>
      <c r="K1491"/>
      <c r="L1491" s="1"/>
    </row>
    <row r="1492" spans="6:12">
      <c r="F1492" s="1"/>
      <c r="G1492"/>
      <c r="H1492"/>
      <c r="I1492" s="1"/>
      <c r="J1492"/>
      <c r="K1492"/>
      <c r="L1492" s="1"/>
    </row>
    <row r="1493" spans="6:12">
      <c r="F1493" s="1"/>
      <c r="G1493"/>
      <c r="H1493"/>
      <c r="I1493" s="1"/>
      <c r="J1493"/>
      <c r="K1493"/>
      <c r="L1493" s="1"/>
    </row>
    <row r="1494" spans="6:12">
      <c r="F1494" s="1"/>
      <c r="G1494"/>
      <c r="H1494"/>
      <c r="I1494" s="1"/>
      <c r="J1494"/>
      <c r="K1494"/>
      <c r="L1494" s="1"/>
    </row>
    <row r="1495" spans="6:12">
      <c r="F1495" s="1"/>
      <c r="G1495"/>
      <c r="H1495"/>
      <c r="I1495" s="1"/>
      <c r="J1495"/>
      <c r="K1495"/>
      <c r="L1495" s="1"/>
    </row>
    <row r="1496" spans="6:12">
      <c r="F1496" s="1"/>
      <c r="G1496"/>
      <c r="H1496"/>
      <c r="I1496" s="1"/>
      <c r="J1496"/>
      <c r="K1496"/>
      <c r="L1496" s="1"/>
    </row>
    <row r="1497" spans="6:12">
      <c r="F1497" s="1"/>
      <c r="G1497"/>
      <c r="H1497"/>
      <c r="I1497" s="1"/>
      <c r="J1497"/>
      <c r="K1497"/>
      <c r="L1497" s="1"/>
    </row>
    <row r="1498" spans="6:12">
      <c r="F1498" s="1"/>
      <c r="G1498"/>
      <c r="H1498"/>
      <c r="I1498" s="1"/>
      <c r="J1498"/>
      <c r="K1498"/>
      <c r="L1498" s="1"/>
    </row>
    <row r="1499" spans="6:12">
      <c r="F1499" s="1"/>
      <c r="G1499"/>
      <c r="H1499"/>
      <c r="I1499" s="1"/>
      <c r="J1499"/>
      <c r="K1499"/>
      <c r="L1499" s="1"/>
    </row>
    <row r="1500" spans="6:12">
      <c r="F1500" s="1"/>
      <c r="G1500"/>
      <c r="H1500"/>
      <c r="I1500" s="1"/>
      <c r="J1500"/>
      <c r="K1500"/>
      <c r="L1500" s="1"/>
    </row>
    <row r="1501" spans="6:12">
      <c r="F1501" s="1"/>
      <c r="G1501"/>
      <c r="H1501"/>
      <c r="I1501" s="1"/>
      <c r="J1501"/>
      <c r="K1501"/>
      <c r="L1501" s="1"/>
    </row>
    <row r="1502" spans="6:12">
      <c r="F1502" s="1"/>
      <c r="G1502"/>
      <c r="H1502"/>
      <c r="I1502" s="1"/>
      <c r="J1502"/>
      <c r="K1502"/>
      <c r="L1502" s="1"/>
    </row>
    <row r="1503" spans="6:12">
      <c r="F1503" s="1"/>
      <c r="G1503"/>
      <c r="H1503"/>
      <c r="I1503" s="1"/>
      <c r="J1503"/>
      <c r="K1503"/>
      <c r="L1503" s="1"/>
    </row>
    <row r="1504" spans="6:12">
      <c r="F1504" s="1"/>
      <c r="G1504"/>
      <c r="H1504"/>
      <c r="I1504" s="1"/>
      <c r="J1504"/>
      <c r="K1504"/>
      <c r="L1504" s="1"/>
    </row>
    <row r="1505" spans="6:12">
      <c r="F1505" s="1"/>
      <c r="G1505"/>
      <c r="H1505"/>
      <c r="I1505" s="1"/>
      <c r="J1505"/>
      <c r="K1505"/>
      <c r="L1505" s="1"/>
    </row>
    <row r="1506" spans="6:12">
      <c r="F1506" s="1"/>
      <c r="G1506"/>
      <c r="H1506"/>
      <c r="I1506" s="1"/>
      <c r="J1506"/>
      <c r="K1506"/>
      <c r="L1506" s="1"/>
    </row>
    <row r="1507" spans="6:12">
      <c r="F1507" s="1"/>
      <c r="G1507"/>
      <c r="H1507"/>
      <c r="I1507" s="1"/>
      <c r="J1507"/>
      <c r="K1507"/>
      <c r="L1507" s="1"/>
    </row>
    <row r="1508" spans="6:12">
      <c r="F1508" s="1"/>
      <c r="G1508"/>
      <c r="H1508"/>
      <c r="I1508" s="1"/>
      <c r="J1508"/>
      <c r="K1508"/>
      <c r="L1508" s="1"/>
    </row>
    <row r="1509" spans="6:12">
      <c r="F1509" s="1"/>
      <c r="G1509"/>
      <c r="H1509"/>
      <c r="I1509" s="1"/>
      <c r="J1509"/>
      <c r="K1509"/>
      <c r="L1509" s="1"/>
    </row>
    <row r="1510" spans="6:12">
      <c r="F1510" s="1"/>
      <c r="G1510"/>
      <c r="H1510"/>
      <c r="I1510" s="1"/>
      <c r="J1510"/>
      <c r="K1510"/>
      <c r="L1510" s="1"/>
    </row>
    <row r="1511" spans="6:12">
      <c r="F1511" s="1"/>
      <c r="G1511"/>
      <c r="H1511"/>
      <c r="I1511" s="1"/>
      <c r="J1511"/>
      <c r="K1511"/>
      <c r="L1511" s="1"/>
    </row>
    <row r="1512" spans="6:12">
      <c r="F1512" s="1"/>
      <c r="G1512"/>
      <c r="H1512"/>
      <c r="I1512" s="1"/>
      <c r="J1512"/>
      <c r="K1512"/>
      <c r="L1512" s="1"/>
    </row>
    <row r="1513" spans="6:12">
      <c r="F1513" s="1"/>
      <c r="G1513"/>
      <c r="H1513"/>
      <c r="I1513" s="1"/>
      <c r="J1513"/>
      <c r="K1513"/>
      <c r="L1513" s="1"/>
    </row>
    <row r="1514" spans="6:12">
      <c r="F1514" s="1"/>
      <c r="G1514"/>
      <c r="H1514"/>
      <c r="I1514" s="1"/>
      <c r="J1514"/>
      <c r="K1514"/>
      <c r="L1514" s="1"/>
    </row>
    <row r="1515" spans="6:12">
      <c r="F1515" s="1"/>
      <c r="G1515"/>
      <c r="H1515"/>
      <c r="I1515" s="1"/>
      <c r="J1515"/>
      <c r="K1515"/>
      <c r="L1515" s="1"/>
    </row>
    <row r="1516" spans="6:12">
      <c r="F1516" s="1"/>
      <c r="G1516"/>
      <c r="H1516"/>
      <c r="I1516" s="1"/>
      <c r="J1516"/>
      <c r="K1516"/>
      <c r="L1516" s="1"/>
    </row>
    <row r="1517" spans="6:12">
      <c r="F1517" s="1"/>
      <c r="G1517"/>
      <c r="H1517"/>
      <c r="I1517" s="1"/>
      <c r="J1517"/>
      <c r="K1517"/>
      <c r="L1517" s="1"/>
    </row>
    <row r="1518" spans="6:12">
      <c r="F1518" s="1"/>
      <c r="G1518"/>
      <c r="H1518"/>
      <c r="I1518" s="1"/>
      <c r="J1518"/>
      <c r="K1518"/>
      <c r="L1518" s="1"/>
    </row>
    <row r="1519" spans="6:12">
      <c r="F1519" s="1"/>
      <c r="G1519"/>
      <c r="H1519"/>
      <c r="I1519" s="1"/>
      <c r="J1519"/>
      <c r="K1519"/>
      <c r="L1519" s="1"/>
    </row>
    <row r="1520" spans="6:12">
      <c r="F1520" s="1"/>
      <c r="G1520"/>
      <c r="H1520"/>
      <c r="I1520" s="1"/>
      <c r="J1520"/>
      <c r="K1520"/>
      <c r="L1520" s="1"/>
    </row>
    <row r="1521" spans="6:12">
      <c r="F1521" s="1"/>
      <c r="G1521"/>
      <c r="H1521"/>
      <c r="I1521" s="1"/>
      <c r="J1521"/>
      <c r="K1521"/>
      <c r="L1521" s="1"/>
    </row>
    <row r="1522" spans="6:12">
      <c r="F1522" s="1"/>
      <c r="G1522"/>
      <c r="H1522"/>
      <c r="I1522" s="1"/>
      <c r="J1522"/>
      <c r="K1522"/>
      <c r="L1522" s="1"/>
    </row>
    <row r="1523" spans="6:12">
      <c r="F1523" s="1"/>
      <c r="G1523"/>
      <c r="H1523"/>
      <c r="I1523" s="1"/>
      <c r="J1523"/>
      <c r="K1523"/>
      <c r="L1523" s="1"/>
    </row>
    <row r="1524" spans="6:12">
      <c r="F1524" s="1"/>
      <c r="G1524"/>
      <c r="H1524"/>
      <c r="I1524" s="1"/>
      <c r="J1524"/>
      <c r="K1524"/>
      <c r="L1524" s="1"/>
    </row>
    <row r="1525" spans="6:12">
      <c r="F1525" s="1"/>
      <c r="G1525"/>
      <c r="H1525"/>
      <c r="I1525" s="1"/>
      <c r="J1525"/>
      <c r="K1525"/>
      <c r="L1525" s="1"/>
    </row>
    <row r="1526" spans="6:12">
      <c r="F1526" s="1"/>
      <c r="G1526"/>
      <c r="H1526"/>
      <c r="I1526" s="1"/>
      <c r="J1526"/>
      <c r="K1526"/>
      <c r="L1526" s="1"/>
    </row>
    <row r="1527" spans="6:12">
      <c r="F1527" s="1"/>
      <c r="G1527"/>
      <c r="H1527"/>
      <c r="I1527" s="1"/>
      <c r="J1527"/>
      <c r="K1527"/>
      <c r="L1527" s="1"/>
    </row>
    <row r="1528" spans="6:12">
      <c r="F1528" s="1"/>
      <c r="G1528"/>
      <c r="H1528"/>
      <c r="I1528" s="1"/>
      <c r="J1528"/>
      <c r="K1528"/>
      <c r="L1528" s="1"/>
    </row>
    <row r="1529" spans="6:12">
      <c r="F1529" s="1"/>
      <c r="G1529"/>
      <c r="H1529"/>
      <c r="I1529" s="1"/>
      <c r="J1529"/>
      <c r="K1529"/>
      <c r="L1529" s="1"/>
    </row>
    <row r="1530" spans="6:12">
      <c r="F1530" s="1"/>
      <c r="G1530"/>
      <c r="H1530"/>
      <c r="I1530" s="1"/>
      <c r="J1530"/>
      <c r="K1530"/>
      <c r="L1530" s="1"/>
    </row>
    <row r="1531" spans="6:12">
      <c r="F1531" s="1"/>
      <c r="G1531"/>
      <c r="H1531"/>
      <c r="I1531" s="1"/>
      <c r="J1531"/>
      <c r="K1531"/>
      <c r="L1531" s="1"/>
    </row>
    <row r="1532" spans="6:12">
      <c r="F1532" s="1"/>
      <c r="G1532"/>
      <c r="H1532"/>
      <c r="I1532" s="1"/>
      <c r="J1532"/>
      <c r="K1532"/>
      <c r="L1532" s="1"/>
    </row>
    <row r="1533" spans="6:12">
      <c r="F1533" s="1"/>
      <c r="G1533"/>
      <c r="H1533"/>
      <c r="I1533" s="1"/>
      <c r="J1533"/>
      <c r="K1533"/>
      <c r="L1533" s="1"/>
    </row>
    <row r="1534" spans="6:12">
      <c r="F1534" s="1"/>
      <c r="G1534"/>
      <c r="H1534"/>
      <c r="I1534" s="1"/>
      <c r="J1534"/>
      <c r="K1534"/>
      <c r="L1534" s="1"/>
    </row>
    <row r="1535" spans="6:12">
      <c r="F1535" s="1"/>
      <c r="G1535"/>
      <c r="H1535"/>
      <c r="I1535" s="1"/>
      <c r="J1535"/>
      <c r="K1535"/>
      <c r="L1535" s="1"/>
    </row>
    <row r="1536" spans="6:12">
      <c r="F1536" s="1"/>
      <c r="G1536"/>
      <c r="H1536"/>
      <c r="I1536" s="1"/>
      <c r="J1536"/>
      <c r="K1536"/>
      <c r="L1536" s="1"/>
    </row>
    <row r="1537" spans="6:12">
      <c r="F1537" s="1"/>
      <c r="G1537"/>
      <c r="H1537"/>
      <c r="I1537" s="1"/>
      <c r="J1537"/>
      <c r="K1537"/>
      <c r="L1537" s="1"/>
    </row>
    <row r="1538" spans="6:12">
      <c r="F1538" s="1"/>
      <c r="G1538"/>
      <c r="H1538"/>
      <c r="I1538" s="1"/>
      <c r="J1538"/>
      <c r="K1538"/>
      <c r="L1538" s="1"/>
    </row>
    <row r="1539" spans="6:12">
      <c r="F1539" s="1"/>
      <c r="G1539"/>
      <c r="H1539"/>
      <c r="I1539" s="1"/>
      <c r="J1539"/>
      <c r="K1539"/>
      <c r="L1539" s="1"/>
    </row>
    <row r="1540" spans="6:12">
      <c r="F1540" s="1"/>
      <c r="G1540"/>
      <c r="H1540"/>
      <c r="I1540" s="1"/>
      <c r="J1540"/>
      <c r="K1540"/>
      <c r="L1540" s="1"/>
    </row>
    <row r="1541" spans="6:12">
      <c r="F1541" s="1"/>
      <c r="G1541"/>
      <c r="H1541"/>
      <c r="I1541" s="1"/>
      <c r="J1541"/>
      <c r="K1541"/>
      <c r="L1541" s="1"/>
    </row>
    <row r="1542" spans="6:12">
      <c r="F1542" s="1"/>
      <c r="G1542"/>
      <c r="H1542"/>
      <c r="I1542" s="1"/>
      <c r="J1542"/>
      <c r="K1542"/>
      <c r="L1542" s="1"/>
    </row>
    <row r="1543" spans="6:12">
      <c r="F1543" s="1"/>
      <c r="G1543"/>
      <c r="H1543"/>
      <c r="I1543" s="1"/>
      <c r="J1543"/>
      <c r="K1543"/>
      <c r="L1543" s="1"/>
    </row>
    <row r="1544" spans="6:12">
      <c r="F1544" s="1"/>
      <c r="G1544"/>
      <c r="H1544"/>
      <c r="I1544" s="1"/>
      <c r="J1544"/>
      <c r="K1544"/>
      <c r="L1544" s="1"/>
    </row>
    <row r="1545" spans="6:12">
      <c r="F1545" s="1"/>
      <c r="G1545"/>
      <c r="H1545"/>
      <c r="I1545" s="1"/>
      <c r="J1545"/>
      <c r="K1545"/>
      <c r="L1545" s="1"/>
    </row>
    <row r="1546" spans="6:12">
      <c r="F1546" s="1"/>
      <c r="G1546"/>
      <c r="H1546"/>
      <c r="I1546" s="1"/>
      <c r="J1546"/>
      <c r="K1546"/>
      <c r="L1546" s="1"/>
    </row>
    <row r="1547" spans="6:12">
      <c r="F1547" s="1"/>
      <c r="G1547"/>
      <c r="H1547"/>
      <c r="I1547" s="1"/>
      <c r="J1547"/>
      <c r="K1547"/>
      <c r="L1547" s="1"/>
    </row>
    <row r="1548" spans="6:12">
      <c r="F1548" s="1"/>
      <c r="G1548"/>
      <c r="H1548"/>
      <c r="I1548" s="1"/>
      <c r="J1548"/>
      <c r="K1548"/>
      <c r="L1548" s="1"/>
    </row>
    <row r="1549" spans="6:12">
      <c r="F1549" s="1"/>
      <c r="G1549"/>
      <c r="H1549"/>
      <c r="I1549" s="1"/>
      <c r="J1549"/>
      <c r="K1549"/>
      <c r="L1549" s="1"/>
    </row>
    <row r="1550" spans="6:12">
      <c r="F1550" s="1"/>
      <c r="G1550"/>
      <c r="H1550"/>
      <c r="I1550" s="1"/>
      <c r="J1550"/>
      <c r="K1550"/>
      <c r="L1550" s="1"/>
    </row>
    <row r="1551" spans="6:12">
      <c r="F1551" s="1"/>
      <c r="G1551"/>
      <c r="H1551"/>
      <c r="I1551" s="1"/>
      <c r="J1551"/>
      <c r="K1551"/>
      <c r="L1551" s="1"/>
    </row>
    <row r="1552" spans="6:12">
      <c r="F1552" s="1"/>
      <c r="G1552"/>
      <c r="H1552"/>
      <c r="I1552" s="1"/>
      <c r="J1552"/>
      <c r="K1552"/>
      <c r="L1552" s="1"/>
    </row>
    <row r="1553" spans="6:12">
      <c r="F1553" s="1"/>
      <c r="G1553"/>
      <c r="H1553"/>
      <c r="I1553" s="1"/>
      <c r="J1553"/>
      <c r="K1553"/>
      <c r="L1553" s="1"/>
    </row>
    <row r="1554" spans="6:12">
      <c r="F1554" s="1"/>
      <c r="G1554"/>
      <c r="H1554"/>
      <c r="I1554" s="1"/>
      <c r="J1554"/>
      <c r="K1554"/>
      <c r="L1554" s="1"/>
    </row>
    <row r="1555" spans="6:12">
      <c r="F1555" s="1"/>
      <c r="G1555"/>
      <c r="H1555"/>
      <c r="I1555" s="1"/>
      <c r="J1555"/>
      <c r="K1555"/>
      <c r="L1555" s="1"/>
    </row>
    <row r="1556" spans="6:12">
      <c r="F1556" s="1"/>
      <c r="G1556"/>
      <c r="H1556"/>
      <c r="I1556" s="1"/>
      <c r="J1556"/>
      <c r="K1556"/>
      <c r="L1556" s="1"/>
    </row>
    <row r="1557" spans="6:12">
      <c r="F1557" s="1"/>
      <c r="G1557"/>
      <c r="H1557"/>
      <c r="I1557" s="1"/>
      <c r="J1557"/>
      <c r="K1557"/>
      <c r="L1557" s="1"/>
    </row>
    <row r="1558" spans="6:12">
      <c r="F1558" s="1"/>
      <c r="G1558"/>
      <c r="H1558"/>
      <c r="I1558" s="1"/>
      <c r="J1558"/>
      <c r="K1558"/>
      <c r="L1558" s="1"/>
    </row>
    <row r="1559" spans="6:12">
      <c r="F1559" s="1"/>
      <c r="G1559"/>
      <c r="H1559"/>
      <c r="I1559" s="1"/>
      <c r="J1559"/>
      <c r="K1559"/>
      <c r="L1559" s="1"/>
    </row>
    <row r="1560" spans="6:12">
      <c r="F1560" s="1"/>
      <c r="G1560"/>
      <c r="H1560"/>
      <c r="I1560" s="1"/>
      <c r="J1560"/>
      <c r="K1560"/>
      <c r="L1560" s="1"/>
    </row>
    <row r="1561" spans="6:12">
      <c r="F1561" s="1"/>
      <c r="G1561"/>
      <c r="H1561"/>
      <c r="I1561" s="1"/>
      <c r="J1561"/>
      <c r="K1561"/>
      <c r="L1561" s="1"/>
    </row>
    <row r="1562" spans="6:12">
      <c r="F1562" s="1"/>
      <c r="G1562"/>
      <c r="H1562"/>
      <c r="I1562" s="1"/>
      <c r="J1562"/>
      <c r="K1562"/>
      <c r="L1562" s="1"/>
    </row>
    <row r="1563" spans="6:12">
      <c r="F1563" s="1"/>
      <c r="G1563"/>
      <c r="H1563"/>
      <c r="I1563" s="1"/>
      <c r="J1563"/>
      <c r="K1563"/>
      <c r="L1563" s="1"/>
    </row>
    <row r="1564" spans="6:12">
      <c r="F1564" s="1"/>
      <c r="G1564"/>
      <c r="H1564"/>
      <c r="I1564" s="1"/>
      <c r="J1564"/>
      <c r="K1564"/>
      <c r="L1564" s="1"/>
    </row>
    <row r="1565" spans="6:12">
      <c r="F1565" s="1"/>
      <c r="G1565"/>
      <c r="H1565"/>
      <c r="I1565" s="1"/>
      <c r="J1565"/>
      <c r="K1565"/>
      <c r="L1565" s="1"/>
    </row>
    <row r="1566" spans="6:12">
      <c r="F1566" s="1"/>
      <c r="G1566"/>
      <c r="H1566"/>
      <c r="I1566" s="1"/>
      <c r="J1566"/>
      <c r="K1566"/>
      <c r="L1566" s="1"/>
    </row>
    <row r="1567" spans="6:12">
      <c r="F1567" s="1"/>
      <c r="G1567"/>
      <c r="H1567"/>
      <c r="I1567" s="1"/>
      <c r="J1567"/>
      <c r="K1567"/>
      <c r="L1567" s="1"/>
    </row>
    <row r="1568" spans="6:12">
      <c r="F1568" s="1"/>
      <c r="G1568"/>
      <c r="H1568"/>
      <c r="I1568" s="1"/>
      <c r="J1568"/>
      <c r="K1568"/>
      <c r="L1568" s="1"/>
    </row>
    <row r="1569" spans="6:12">
      <c r="F1569" s="1"/>
      <c r="G1569"/>
      <c r="H1569"/>
      <c r="I1569" s="1"/>
      <c r="J1569"/>
      <c r="K1569"/>
      <c r="L1569" s="1"/>
    </row>
    <row r="1570" spans="6:12">
      <c r="F1570" s="1"/>
      <c r="G1570"/>
      <c r="H1570"/>
      <c r="I1570" s="1"/>
      <c r="J1570"/>
      <c r="K1570"/>
      <c r="L1570" s="1"/>
    </row>
    <row r="1571" spans="6:12">
      <c r="F1571" s="1"/>
      <c r="G1571"/>
      <c r="H1571"/>
      <c r="I1571" s="1"/>
      <c r="J1571"/>
      <c r="K1571"/>
      <c r="L1571" s="1"/>
    </row>
    <row r="1572" spans="6:12">
      <c r="F1572" s="1"/>
      <c r="G1572"/>
      <c r="H1572"/>
      <c r="I1572" s="1"/>
      <c r="J1572"/>
      <c r="K1572"/>
      <c r="L1572" s="1"/>
    </row>
    <row r="1573" spans="6:12">
      <c r="F1573" s="1"/>
      <c r="G1573"/>
      <c r="H1573"/>
      <c r="I1573" s="1"/>
      <c r="J1573"/>
      <c r="K1573"/>
      <c r="L1573" s="1"/>
    </row>
    <row r="1574" spans="6:12">
      <c r="F1574" s="1"/>
      <c r="G1574"/>
      <c r="H1574"/>
      <c r="I1574" s="1"/>
      <c r="J1574"/>
      <c r="K1574"/>
      <c r="L1574" s="1"/>
    </row>
    <row r="1575" spans="6:12">
      <c r="F1575" s="1"/>
      <c r="G1575"/>
      <c r="H1575"/>
      <c r="I1575" s="1"/>
      <c r="J1575"/>
      <c r="K1575"/>
      <c r="L1575" s="1"/>
    </row>
    <row r="1576" spans="6:12">
      <c r="F1576" s="1"/>
      <c r="G1576"/>
      <c r="H1576"/>
      <c r="I1576" s="1"/>
      <c r="J1576"/>
      <c r="K1576"/>
      <c r="L1576" s="1"/>
    </row>
    <row r="1577" spans="6:12">
      <c r="F1577" s="1"/>
      <c r="G1577"/>
      <c r="H1577"/>
      <c r="I1577" s="1"/>
      <c r="J1577"/>
      <c r="K1577"/>
      <c r="L1577" s="1"/>
    </row>
    <row r="1578" spans="6:12">
      <c r="F1578" s="1"/>
      <c r="G1578"/>
      <c r="H1578"/>
      <c r="I1578" s="1"/>
      <c r="J1578"/>
      <c r="K1578"/>
      <c r="L1578" s="1"/>
    </row>
    <row r="1579" spans="6:12">
      <c r="F1579" s="1"/>
      <c r="G1579"/>
      <c r="H1579"/>
      <c r="I1579" s="1"/>
      <c r="J1579"/>
      <c r="K1579"/>
      <c r="L1579" s="1"/>
    </row>
    <row r="1580" spans="6:12">
      <c r="F1580" s="1"/>
      <c r="G1580"/>
      <c r="H1580"/>
      <c r="I1580" s="1"/>
      <c r="J1580"/>
      <c r="K1580"/>
      <c r="L1580" s="1"/>
    </row>
    <row r="1581" spans="6:12">
      <c r="F1581" s="1"/>
      <c r="G1581"/>
      <c r="H1581"/>
      <c r="I1581" s="1"/>
      <c r="J1581"/>
      <c r="K1581"/>
      <c r="L1581" s="1"/>
    </row>
    <row r="1582" spans="6:12">
      <c r="F1582" s="1"/>
      <c r="G1582"/>
      <c r="H1582"/>
      <c r="I1582" s="1"/>
      <c r="J1582"/>
      <c r="K1582"/>
      <c r="L1582" s="1"/>
    </row>
    <row r="1583" spans="6:12">
      <c r="F1583" s="1"/>
      <c r="G1583"/>
      <c r="H1583"/>
      <c r="I1583" s="1"/>
      <c r="J1583"/>
      <c r="K1583"/>
      <c r="L1583" s="1"/>
    </row>
    <row r="1584" spans="6:12">
      <c r="F1584" s="1"/>
      <c r="G1584"/>
      <c r="H1584"/>
      <c r="I1584" s="1"/>
      <c r="J1584"/>
      <c r="K1584"/>
      <c r="L1584" s="1"/>
    </row>
    <row r="1585" spans="6:12">
      <c r="F1585" s="1"/>
      <c r="G1585"/>
      <c r="H1585"/>
      <c r="I1585" s="1"/>
      <c r="J1585"/>
      <c r="K1585"/>
      <c r="L1585" s="1"/>
    </row>
    <row r="1586" spans="6:12">
      <c r="F1586" s="1"/>
      <c r="G1586"/>
      <c r="H1586"/>
      <c r="I1586" s="1"/>
      <c r="J1586"/>
      <c r="K1586"/>
      <c r="L1586" s="1"/>
    </row>
    <row r="1587" spans="6:12">
      <c r="F1587" s="1"/>
      <c r="G1587"/>
      <c r="H1587"/>
      <c r="I1587" s="1"/>
      <c r="J1587"/>
      <c r="K1587"/>
      <c r="L1587" s="1"/>
    </row>
    <row r="1588" spans="6:12">
      <c r="F1588" s="1"/>
      <c r="G1588"/>
      <c r="H1588"/>
      <c r="I1588" s="1"/>
      <c r="J1588"/>
      <c r="K1588"/>
      <c r="L1588" s="1"/>
    </row>
    <row r="1589" spans="6:12">
      <c r="F1589" s="1"/>
      <c r="G1589"/>
      <c r="H1589"/>
      <c r="I1589" s="1"/>
      <c r="J1589"/>
      <c r="K1589"/>
      <c r="L1589" s="1"/>
    </row>
    <row r="1590" spans="6:12">
      <c r="F1590" s="1"/>
      <c r="G1590"/>
      <c r="H1590"/>
      <c r="I1590" s="1"/>
      <c r="J1590"/>
      <c r="K1590"/>
      <c r="L1590" s="1"/>
    </row>
    <row r="1591" spans="6:12">
      <c r="F1591" s="1"/>
      <c r="G1591"/>
      <c r="H1591"/>
      <c r="I1591" s="1"/>
      <c r="J1591"/>
      <c r="K1591"/>
      <c r="L1591" s="1"/>
    </row>
    <row r="1592" spans="6:12">
      <c r="F1592" s="1"/>
      <c r="G1592"/>
      <c r="H1592"/>
      <c r="I1592" s="1"/>
      <c r="J1592"/>
      <c r="K1592"/>
      <c r="L1592" s="1"/>
    </row>
    <row r="1593" spans="6:12">
      <c r="F1593" s="1"/>
      <c r="G1593"/>
      <c r="H1593"/>
      <c r="I1593" s="1"/>
      <c r="J1593"/>
      <c r="K1593"/>
      <c r="L1593" s="1"/>
    </row>
    <row r="1594" spans="6:12">
      <c r="F1594" s="1"/>
      <c r="G1594"/>
      <c r="H1594"/>
      <c r="I1594" s="1"/>
      <c r="J1594"/>
      <c r="K1594"/>
      <c r="L1594" s="1"/>
    </row>
    <row r="1595" spans="6:12">
      <c r="F1595" s="1"/>
      <c r="G1595"/>
      <c r="H1595"/>
      <c r="I1595" s="1"/>
      <c r="J1595"/>
      <c r="K1595"/>
      <c r="L1595" s="1"/>
    </row>
    <row r="1596" spans="6:12">
      <c r="F1596" s="1"/>
      <c r="G1596"/>
      <c r="H1596"/>
      <c r="I1596" s="1"/>
      <c r="J1596"/>
      <c r="K1596"/>
      <c r="L1596" s="1"/>
    </row>
    <row r="1597" spans="6:12">
      <c r="F1597" s="1"/>
      <c r="G1597"/>
      <c r="H1597"/>
      <c r="I1597" s="1"/>
      <c r="J1597"/>
      <c r="K1597"/>
      <c r="L1597" s="1"/>
    </row>
    <row r="1598" spans="6:12">
      <c r="F1598" s="1"/>
      <c r="G1598"/>
      <c r="H1598"/>
      <c r="I1598" s="1"/>
      <c r="J1598"/>
      <c r="K1598"/>
      <c r="L1598" s="1"/>
    </row>
    <row r="1599" spans="6:12">
      <c r="F1599" s="1"/>
      <c r="G1599"/>
      <c r="H1599"/>
      <c r="I1599" s="1"/>
      <c r="J1599"/>
      <c r="K1599"/>
      <c r="L1599" s="1"/>
    </row>
    <row r="1600" spans="6:12">
      <c r="F1600" s="1"/>
      <c r="G1600"/>
      <c r="H1600"/>
      <c r="I1600" s="1"/>
      <c r="J1600"/>
      <c r="K1600"/>
      <c r="L1600" s="1"/>
    </row>
    <row r="1601" spans="6:12">
      <c r="F1601" s="1"/>
      <c r="G1601"/>
      <c r="H1601"/>
      <c r="I1601" s="1"/>
      <c r="J1601"/>
      <c r="K1601"/>
      <c r="L1601" s="1"/>
    </row>
    <row r="1602" spans="6:12">
      <c r="F1602" s="1"/>
      <c r="G1602"/>
      <c r="H1602"/>
      <c r="I1602" s="1"/>
      <c r="J1602"/>
      <c r="K1602"/>
      <c r="L1602" s="1"/>
    </row>
    <row r="1603" spans="6:12">
      <c r="F1603" s="1"/>
      <c r="G1603"/>
      <c r="H1603"/>
      <c r="I1603" s="1"/>
      <c r="J1603"/>
      <c r="K1603"/>
      <c r="L1603" s="1"/>
    </row>
    <row r="1604" spans="6:12">
      <c r="F1604" s="1"/>
      <c r="G1604"/>
      <c r="H1604"/>
      <c r="I1604" s="1"/>
      <c r="J1604"/>
      <c r="K1604"/>
      <c r="L1604" s="1"/>
    </row>
    <row r="1605" spans="6:12">
      <c r="F1605" s="1"/>
      <c r="G1605"/>
      <c r="H1605"/>
      <c r="I1605" s="1"/>
      <c r="J1605"/>
      <c r="K1605"/>
      <c r="L1605" s="1"/>
    </row>
  </sheetData>
  <mergeCells count="11">
    <mergeCell ref="V133:V134"/>
    <mergeCell ref="V33:V34"/>
    <mergeCell ref="A107:A109"/>
    <mergeCell ref="V3:V4"/>
    <mergeCell ref="V5:V7"/>
    <mergeCell ref="V91:V92"/>
    <mergeCell ref="V97:V99"/>
    <mergeCell ref="V103:V104"/>
    <mergeCell ref="V107:V109"/>
    <mergeCell ref="V42:V43"/>
    <mergeCell ref="A74:XFD74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xbhu</dc:creator>
  <cp:lastModifiedBy>User</cp:lastModifiedBy>
  <dcterms:created xsi:type="dcterms:W3CDTF">2022-08-04T07:54:25Z</dcterms:created>
  <dcterms:modified xsi:type="dcterms:W3CDTF">2025-10-31T06:46:19Z</dcterms:modified>
</cp:coreProperties>
</file>